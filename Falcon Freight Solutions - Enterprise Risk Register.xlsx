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Page" sheetId="1" state="visible" r:id="rId3"/>
    <sheet name="Executive Dashboard" sheetId="2" state="visible" r:id="rId4"/>
    <sheet name="Master Risk Register" sheetId="3" state="visible" r:id="rId5"/>
    <sheet name="Risk Heat Maps" sheetId="4" state="visible" r:id="rId6"/>
    <sheet name="Third-Party Vendor Register" sheetId="5" state="visible" r:id="rId7"/>
    <sheet name="Risk Analytics" sheetId="6" state="visible" r:id="rId8"/>
    <sheet name="Risk Methodolog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<sst xmlns="http://schemas.openxmlformats.org/spreadsheetml/2006/main" count="356" uniqueCount="270">
  <si>
    <t xml:space="preserve">FALCON FREIGHT SOLUTIONS</t>
  </si>
  <si>
    <t xml:space="preserve">Enterprise Risk Register</t>
  </si>
  <si>
    <t xml:space="preserve">Governance, Risk &amp; Compliance | Consolidated Enterprise, Third-Party &amp; Technical Risk Register</t>
  </si>
  <si>
    <t xml:space="preserve">CONFIDENTIAL – INTERNAL USE ONLY</t>
  </si>
  <si>
    <t xml:space="preserve">Document Title</t>
  </si>
  <si>
    <t xml:space="preserve">Falcon Freight Solutions – Enterprise Risk Register</t>
  </si>
  <si>
    <t xml:space="preserve">Document Owner</t>
  </si>
  <si>
    <t xml:space="preserve">Head of Legal &amp; Compliance</t>
  </si>
  <si>
    <t xml:space="preserve">Approved By</t>
  </si>
  <si>
    <t xml:space="preserve">Executive Risk &amp; Compliance Committee</t>
  </si>
  <si>
    <t xml:space="preserve">Version</t>
  </si>
  <si>
    <t xml:space="preserve">1.0</t>
  </si>
  <si>
    <t xml:space="preserve">Effective Date</t>
  </si>
  <si>
    <t xml:space="preserve">30-Jul-2026</t>
  </si>
  <si>
    <t xml:space="preserve">Next Review Date</t>
  </si>
  <si>
    <t xml:space="preserve">30-Jan-2027 (semi-annual review cycle)</t>
  </si>
  <si>
    <t xml:space="preserve">Scope</t>
  </si>
  <si>
    <t xml:space="preserve">Johannesburg HQ; Southern &amp; East Africa regional offices; cloud shipment tracking platform; on-premise warehouse management system; third-party vendors and delivery contractors</t>
  </si>
  <si>
    <t xml:space="preserve">Applicable Frameworks</t>
  </si>
  <si>
    <t xml:space="preserve">ISO/IEC 27001:2022, ISO 31000, NIST Cybersecurity Framework (CSF), GDPR</t>
  </si>
  <si>
    <t xml:space="preserve">This register consolidates risk identification, assessment, and treatment across governance, operational, technical, and third-party risk domains, aligned to the frameworks named above.</t>
  </si>
  <si>
    <t xml:space="preserve">EXECUTIVE RISK DASHBOARD</t>
  </si>
  <si>
    <t xml:space="preserve">Falcon Freight Solutions | As of 30 July 2026 | Source: Master Risk Register (12 risks) &amp; Third-Party Vendor Register (5 vendors)</t>
  </si>
  <si>
    <t xml:space="preserve">TOTAL IDENTIFIED RISKS</t>
  </si>
  <si>
    <t xml:space="preserve">CRITICAL / HIGH INHERENT RISKS</t>
  </si>
  <si>
    <t xml:space="preserve">AVERAGE INHERENT SCORE</t>
  </si>
  <si>
    <t xml:space="preserve">AVERAGE RESIDUAL SCORE</t>
  </si>
  <si>
    <t xml:space="preserve">RISK REDUCTION EFFICIENCY</t>
  </si>
  <si>
    <t xml:space="preserve">RISKS EXCEEDING APPETITE</t>
  </si>
  <si>
    <t xml:space="preserve">RISKS OVERDUE FOR REVIEW</t>
  </si>
  <si>
    <t xml:space="preserve">THIRD-PARTY VENDORS TRACKED</t>
  </si>
  <si>
    <t xml:space="preserve">Status</t>
  </si>
  <si>
    <t xml:space="preserve">Count</t>
  </si>
  <si>
    <t xml:space="preserve">Appetite</t>
  </si>
  <si>
    <t xml:space="preserve">Active</t>
  </si>
  <si>
    <t xml:space="preserve">Within Appetite</t>
  </si>
  <si>
    <t xml:space="preserve">Monitoring</t>
  </si>
  <si>
    <t xml:space="preserve">Exceeds Appetite</t>
  </si>
  <si>
    <t xml:space="preserve">Mitigated</t>
  </si>
  <si>
    <t xml:space="preserve">Closed</t>
  </si>
  <si>
    <t xml:space="preserve">Category</t>
  </si>
  <si>
    <t xml:space="preserve">All figures on this dashboard are calculated live from the Master Risk Register and Third-Party Vendor Register sheets. See the Risk Methodology sheet for scoring definitions and the Board-approved risk appetite statement.</t>
  </si>
  <si>
    <t xml:space="preserve">FALCON FREIGHT SOLUTIONS – MASTER RISK REGISTER</t>
  </si>
  <si>
    <t xml:space="preserve">Enterprise, Governance, Operational &amp; Technical Risks | Board-Approved Residual Risk Appetite Ceiling: Score ≤ 8 (Medium)</t>
  </si>
  <si>
    <t xml:space="preserve">Risk ID</t>
  </si>
  <si>
    <t xml:space="preserve">Risk Description</t>
  </si>
  <si>
    <t xml:space="preserve">Risk Owner</t>
  </si>
  <si>
    <t xml:space="preserve">Date Identified</t>
  </si>
  <si>
    <t xml:space="preserve">Inh. Prob (1-5)</t>
  </si>
  <si>
    <t xml:space="preserve">Inh. Impact (1-5)</t>
  </si>
  <si>
    <t xml:space="preserve">Inherent Score</t>
  </si>
  <si>
    <t xml:space="preserve">Inherent Rating</t>
  </si>
  <si>
    <t xml:space="preserve">Mitigation / Control Measures</t>
  </si>
  <si>
    <t xml:space="preserve">Res. Prob (1-5)</t>
  </si>
  <si>
    <t xml:space="preserve">Res. Impact (1-5)</t>
  </si>
  <si>
    <t xml:space="preserve">Residual Score</t>
  </si>
  <si>
    <t xml:space="preserve">Residual Rating</t>
  </si>
  <si>
    <t xml:space="preserve">Appetite Status</t>
  </si>
  <si>
    <t xml:space="preserve">Framework Mapping</t>
  </si>
  <si>
    <t xml:space="preserve">Last Reviewed</t>
  </si>
  <si>
    <t xml:space="preserve">Next Review Due</t>
  </si>
  <si>
    <t xml:space="preserve">RSK-001</t>
  </si>
  <si>
    <t xml:space="preserve">Compliance / Legal</t>
  </si>
  <si>
    <t xml:space="preserve">Non-compliance with GDPR and cross-border data protection requirements due to lack of localized data processing agreements for international client shipments</t>
  </si>
  <si>
    <t xml:space="preserve">15-Jan-2026</t>
  </si>
  <si>
    <t xml:space="preserve">Conduct Data Protection Impact Assessments (DPIAs); implement GDPR-aligned Standard Contractual Clauses (SCCs); appoint a Data Protection Officer (DPO) for cross-border operations.</t>
  </si>
  <si>
    <t xml:space="preserve">GDPR; ISO/IEC 27001:2022 A.18</t>
  </si>
  <si>
    <t xml:space="preserve">10-Apr-2026</t>
  </si>
  <si>
    <t xml:space="preserve">09-Oct-2026</t>
  </si>
  <si>
    <t xml:space="preserve">RSK-002</t>
  </si>
  <si>
    <t xml:space="preserve">Operational / Third-Party</t>
  </si>
  <si>
    <t xml:space="preserve">Customer and shipment data breach at a subcontracted last-mile delivery partner leading to exposure of customer PII and loss of cargo tracking data</t>
  </si>
  <si>
    <t xml:space="preserve">VP of Supply Chain &amp; Logistics</t>
  </si>
  <si>
    <t xml:space="preserve">Mandate vendor security assessments prior to onboarding; embed right-to-audit and security SLA clauses in subcontractor agreements; require MFA for all partner portal access.</t>
  </si>
  <si>
    <t xml:space="preserve">ISO/IEC 27001:2022 A.15; GDPR</t>
  </si>
  <si>
    <t xml:space="preserve">01-May-2026</t>
  </si>
  <si>
    <t xml:space="preserve">30-Oct-2026</t>
  </si>
  <si>
    <t xml:space="preserve">RSK-003</t>
  </si>
  <si>
    <t xml:space="preserve">Technical / Infrastructure</t>
  </si>
  <si>
    <t xml:space="preserve">Ransomware attack against the legacy on-premise warehouse management system causing critical operational downtime and potential data loss</t>
  </si>
  <si>
    <t xml:space="preserve">Director of IT &amp; Security</t>
  </si>
  <si>
    <t xml:space="preserve">Deploy endpoint detection and response (EDR); implement automated air-gapped, immutable offsite backups; conduct annual business continuity and disaster recovery (BCDR) drills.</t>
  </si>
  <si>
    <t xml:space="preserve">ISO/IEC 27001:2022 A.12; NIST CSF (Protect / Recover)</t>
  </si>
  <si>
    <t xml:space="preserve">01-Jun-2026</t>
  </si>
  <si>
    <t xml:space="preserve">30-Nov-2026</t>
  </si>
  <si>
    <t xml:space="preserve">RSK-004</t>
  </si>
  <si>
    <t xml:space="preserve">Technical / Cyber</t>
  </si>
  <si>
    <t xml:space="preserve">Phishing or social engineering attacks targeting dispatch and warehouse staff leading to credential theft and unauthorized system access</t>
  </si>
  <si>
    <t xml:space="preserve">Implement mandatory multi-factor authentication (MFA); run quarterly simulated phishing campaigns; deploy DMARC/DKIM email anti-spoofing controls.</t>
  </si>
  <si>
    <t xml:space="preserve">NIST CSF; ISO/IEC 27001:2022 A.7.2.2</t>
  </si>
  <si>
    <t xml:space="preserve">15-May-2026</t>
  </si>
  <si>
    <t xml:space="preserve">13-Nov-2026</t>
  </si>
  <si>
    <t xml:space="preserve">RSK-005</t>
  </si>
  <si>
    <t xml:space="preserve">Operational</t>
  </si>
  <si>
    <t xml:space="preserve">Unplanned outage of the on-premise warehouse management system due to hardware failure or inadequate maintenance, disrupting inventory and dispatch operations</t>
  </si>
  <si>
    <t xml:space="preserve">Introduce redundant server infrastructure and scheduled preventive maintenance; formalize a warehouse system continuity plan with defined RTO/RPO targets.</t>
  </si>
  <si>
    <t xml:space="preserve">ISO/IEC 27001:2022 A.17; ISO 31000</t>
  </si>
  <si>
    <t xml:space="preserve">RSK-006</t>
  </si>
  <si>
    <t xml:space="preserve">Technical / Cloud</t>
  </si>
  <si>
    <t xml:space="preserve">Cloud-based shipment tracking platform data breach due to misconfigured access controls or third-party API vulnerabilities</t>
  </si>
  <si>
    <t xml:space="preserve">Cloud Security Architect</t>
  </si>
  <si>
    <t xml:space="preserve">Enforce regular automated cloud configuration audits; implement Principle of Least Privilege (PoLP) via centralized IAM; review cloud vendor SOC 2 Type II reports annually.</t>
  </si>
  <si>
    <t xml:space="preserve">ISO/IEC 27001:2022 A.14; NIST CSF</t>
  </si>
  <si>
    <t xml:space="preserve">20-May-2026</t>
  </si>
  <si>
    <t xml:space="preserve">18-Nov-2026</t>
  </si>
  <si>
    <t xml:space="preserve">RSK-007</t>
  </si>
  <si>
    <t xml:space="preserve">Compromise of customs brokerage or subcontractor systems exposing sensitive corporate shipment and customs documentation handled via unsecured channels</t>
  </si>
  <si>
    <t xml:space="preserve">Head of Customs Brokerage</t>
  </si>
  <si>
    <t xml:space="preserve">Mandate use of a secure encrypted document exchange portal for all customs submissions; provide periodic security awareness training for external agents.</t>
  </si>
  <si>
    <t xml:space="preserve">ISO/IEC 27001:2022 A.15</t>
  </si>
  <si>
    <t xml:space="preserve">01-Apr-2026</t>
  </si>
  <si>
    <t xml:space="preserve">30-Sep-2026</t>
  </si>
  <si>
    <t xml:space="preserve">RSK-008</t>
  </si>
  <si>
    <t xml:space="preserve">Malicious or negligent insider behaviour by subcontracted delivery drivers or temporary staff leaking delivery routes or customer contact information</t>
  </si>
  <si>
    <t xml:space="preserve">10-Feb-2026</t>
  </si>
  <si>
    <t xml:space="preserve">Enforce data masking on mobile delivery applications; disable screenshot capability within partner apps; automatically deprovision contractor access upon route completion.</t>
  </si>
  <si>
    <t xml:space="preserve">ISO/IEC 27001:2022 A.7 (Human Resource Security)</t>
  </si>
  <si>
    <t xml:space="preserve">15-Feb-2026</t>
  </si>
  <si>
    <t xml:space="preserve">14-Aug-2026</t>
  </si>
  <si>
    <t xml:space="preserve">RSK-009</t>
  </si>
  <si>
    <t xml:space="preserve">Physical security breach at a regional warehouse hub resulting in theft of local servers, tracking hardware, or inventory logs</t>
  </si>
  <si>
    <t xml:space="preserve">Regional Warehouse Manager</t>
  </si>
  <si>
    <t xml:space="preserve">Upgrade physical access controls to biometric scanners; install 24/7 CCTV with offsite cloud recording; implement full-disk encryption (FDE) on local server hardware.</t>
  </si>
  <si>
    <t xml:space="preserve">ISO/IEC 27001:2022 A.11 (Physical Security)</t>
  </si>
  <si>
    <t xml:space="preserve">25-Jan-2026</t>
  </si>
  <si>
    <t xml:space="preserve">26-Jul-2026</t>
  </si>
  <si>
    <t xml:space="preserve">RSK-010</t>
  </si>
  <si>
    <t xml:space="preserve">API interception or man-in-the-middle (MitM) attack on real-time shipment and fleet tracking data exchanged with e-commerce and delivery partners</t>
  </si>
  <si>
    <t xml:space="preserve">Enforce HTTPS/TLS 1.3 on all endpoints; mandate API key rotation every 90 days; implement rate limiting and a web application firewall (WAF).</t>
  </si>
  <si>
    <t xml:space="preserve">ISO/IEC 27001:2022 A.14.1.2</t>
  </si>
  <si>
    <t xml:space="preserve">25-Apr-2026</t>
  </si>
  <si>
    <t xml:space="preserve">24-Oct-2026</t>
  </si>
  <si>
    <t xml:space="preserve">RSK-011</t>
  </si>
  <si>
    <t xml:space="preserve">Governance</t>
  </si>
  <si>
    <t xml:space="preserve">Weak and inconsistent access control enforcement across regional offices, allowing excessive or stale user privileges on core logistics systems</t>
  </si>
  <si>
    <t xml:space="preserve">Regional Operations Director</t>
  </si>
  <si>
    <t xml:space="preserve">Establish a centralized IAM governance committee; deploy automated access-review and policy compliance tracking; conduct quarterly regional access recertification.</t>
  </si>
  <si>
    <t xml:space="preserve">ISO/IEC 27001:2022 A.9 (Access Control); NIST CSF</t>
  </si>
  <si>
    <t xml:space="preserve">10-Jun-2026</t>
  </si>
  <si>
    <t xml:space="preserve">08-Dec-2026</t>
  </si>
  <si>
    <t xml:space="preserve">RSK-012</t>
  </si>
  <si>
    <t xml:space="preserve">Absence of a tested business continuity and disaster recovery plan, risking prolonged service disruption following a major incident across any regional hub</t>
  </si>
  <si>
    <t xml:space="preserve">Chief Operating Officer</t>
  </si>
  <si>
    <t xml:space="preserve">Develop and formally test a group-wide Business Continuity Plan (BCP) aligned to ISO 22301 principles; conduct annual continuity exercises with regional offices.</t>
  </si>
  <si>
    <t xml:space="preserve">ISO 31000; ISO 22301 principles</t>
  </si>
  <si>
    <t xml:space="preserve">20-Mar-2026</t>
  </si>
  <si>
    <t xml:space="preserve">18-Sep-2026</t>
  </si>
  <si>
    <t xml:space="preserve">Note: Inherent and Residual Scores are calculated automatically as Probability × Impact (range 1-25). See the 'Risk Methodology' sheet for full scoring definitions, rating bands, and the Board's risk appetite statement.</t>
  </si>
  <si>
    <t xml:space="preserve">RISK HEAT MAP – PROBABILITY × IMPACT</t>
  </si>
  <si>
    <t xml:space="preserve">Inherent risk (before controls) versus Residual risk (after mitigation) – Risk IDs plotted by Probability (x-axis) and Impact (y-axis)</t>
  </si>
  <si>
    <t xml:space="preserve">INHERENT RISK MATRIX (before controls)</t>
  </si>
  <si>
    <t xml:space="preserve">Impact \ Probability</t>
  </si>
  <si>
    <t xml:space="preserve">RSK-005
RSK-006
RSK-010
RSK-012</t>
  </si>
  <si>
    <t xml:space="preserve">RSK-002
RSK-004</t>
  </si>
  <si>
    <t xml:space="preserve">RSK-007
RSK-011</t>
  </si>
  <si>
    <t xml:space="preserve">Probability (1 = Rare → 5 = Almost Certain)      |      Impact (1 = Negligible → 5 = Severe)</t>
  </si>
  <si>
    <t xml:space="preserve">RESIDUAL RISK MATRIX (after mitigation)</t>
  </si>
  <si>
    <t xml:space="preserve">RSK-003
RSK-006
RSK-009
RSK-010</t>
  </si>
  <si>
    <t xml:space="preserve">RSK-005
RSK-012</t>
  </si>
  <si>
    <t xml:space="preserve">RSK-007
RSK-008
RSK-011</t>
  </si>
  <si>
    <t xml:space="preserve">Rating Legend:</t>
  </si>
  <si>
    <t xml:space="preserve">Low (1-4)</t>
  </si>
  <si>
    <t xml:space="preserve">Medium (5-9)</t>
  </si>
  <si>
    <t xml:space="preserve">High (10-14)</t>
  </si>
  <si>
    <t xml:space="preserve">Critical (15-25)</t>
  </si>
  <si>
    <t xml:space="preserve">Observation: 4 of 12 risks sit in the Critical inherent zone before treatment. After applying documented mitigations, 0 risks remain in the Critical or High residual zone – the remainder are reduced to Medium or Low, with RSK-001 (GDPR / cross-border data compliance) warranting continued close monitoring.</t>
  </si>
  <si>
    <t xml:space="preserve">THIRD-PARTY &amp; VENDOR RISK REGISTER</t>
  </si>
  <si>
    <t xml:space="preserve">Critical suppliers and vendors with access to Falcon Freight data, systems, or facilities</t>
  </si>
  <si>
    <t xml:space="preserve">Vendor ID</t>
  </si>
  <si>
    <t xml:space="preserve">Vendor Name</t>
  </si>
  <si>
    <t xml:space="preserve">Vendor Type</t>
  </si>
  <si>
    <t xml:space="preserve">Services Provided</t>
  </si>
  <si>
    <t xml:space="preserve">Data Types Handled</t>
  </si>
  <si>
    <t xml:space="preserve">Data Privacy / Framework Scope</t>
  </si>
  <si>
    <t xml:space="preserve">Inherent Risk Level</t>
  </si>
  <si>
    <t xml:space="preserve">Critical Security Controls Required</t>
  </si>
  <si>
    <t xml:space="preserve">Assessment Status</t>
  </si>
  <si>
    <t xml:space="preserve">Last Assessment</t>
  </si>
  <si>
    <t xml:space="preserve">Next Assessment</t>
  </si>
  <si>
    <t xml:space="preserve">Residual Risk Level</t>
  </si>
  <si>
    <t xml:space="preserve">TPV-001</t>
  </si>
  <si>
    <t xml:space="preserve">Microsoft Azure</t>
  </si>
  <si>
    <t xml:space="preserve">Cloud / SaaS Vendor</t>
  </si>
  <si>
    <t xml:space="preserve">Hosting of cloud-based shipment tracking platform &amp; related infrastructure</t>
  </si>
  <si>
    <t xml:space="preserve">Shipment records; customer PII; geolocation data; system logs</t>
  </si>
  <si>
    <t xml:space="preserve">GDPR / ISO 27001 A.14 / Shared Responsibility Model</t>
  </si>
  <si>
    <t xml:space="preserve">High</t>
  </si>
  <si>
    <t xml:space="preserve">Annual SOC 2 Type II report review; IAM least-privilege configuration; continuous API traffic monitoring; encryption at rest and in transit</t>
  </si>
  <si>
    <t xml:space="preserve">Completed</t>
  </si>
  <si>
    <t xml:space="preserve">20-Jan-2026</t>
  </si>
  <si>
    <t xml:space="preserve">20-Jan-2027</t>
  </si>
  <si>
    <t xml:space="preserve">Low</t>
  </si>
  <si>
    <t xml:space="preserve">TPV-002</t>
  </si>
  <si>
    <t xml:space="preserve">SAP Logistics</t>
  </si>
  <si>
    <t xml:space="preserve">ERP / Warehouse Software Vendor</t>
  </si>
  <si>
    <t xml:space="preserve">Warehouse management and inventory control software platform</t>
  </si>
  <si>
    <t xml:space="preserve">Inventory logs; shipment manifests; supplier records</t>
  </si>
  <si>
    <t xml:space="preserve">ISO 27001 A.12 / A.14</t>
  </si>
  <si>
    <t xml:space="preserve">Medium</t>
  </si>
  <si>
    <t xml:space="preserve">Patch management SLA; role-based access control; vendor-managed encrypted backups; quarterly system health review</t>
  </si>
  <si>
    <t xml:space="preserve">05-Apr-2026</t>
  </si>
  <si>
    <t xml:space="preserve">05-Apr-2027</t>
  </si>
  <si>
    <t xml:space="preserve">TPV-003</t>
  </si>
  <si>
    <t xml:space="preserve">DHL Partner Services</t>
  </si>
  <si>
    <t xml:space="preserve">Delivery / Logistics Subcontractor</t>
  </si>
  <si>
    <t xml:space="preserve">Last-mile package delivery and driver tracking services</t>
  </si>
  <si>
    <t xml:space="preserve">Customer names; delivery addresses; phone numbers; geolocation logs</t>
  </si>
  <si>
    <t xml:space="preserve">GDPR / ISO 27001 A.15</t>
  </si>
  <si>
    <t xml:space="preserve">Data masking on mobile delivery apps; disabled screenshot capability; automated access deprovisioning; MFA for driver portals</t>
  </si>
  <si>
    <t xml:space="preserve">Under Review</t>
  </si>
  <si>
    <t xml:space="preserve">10-May-2026</t>
  </si>
  <si>
    <t xml:space="preserve">10-May-2027</t>
  </si>
  <si>
    <t xml:space="preserve">TPV-004</t>
  </si>
  <si>
    <t xml:space="preserve">PayFast Payment Gateway</t>
  </si>
  <si>
    <t xml:space="preserve">Payment Processing Provider</t>
  </si>
  <si>
    <t xml:space="preserve">Online payment processing for freight and customs invoicing</t>
  </si>
  <si>
    <t xml:space="preserve">Payment card data; transaction records; billing PII</t>
  </si>
  <si>
    <t xml:space="preserve">PCI-DSS / GDPR</t>
  </si>
  <si>
    <t xml:space="preserve">PCI-DSS compliance certification; tokenization of card data; TLS 1.3 enforced on all endpoints; annual penetration testing</t>
  </si>
  <si>
    <t xml:space="preserve">15-Feb-2027</t>
  </si>
  <si>
    <t xml:space="preserve">TPV-005</t>
  </si>
  <si>
    <t xml:space="preserve">SecureNet IT Services</t>
  </si>
  <si>
    <t xml:space="preserve">Managed IT / Security Services Provider</t>
  </si>
  <si>
    <t xml:space="preserve">Outsourced network monitoring, helpdesk, and security operations support</t>
  </si>
  <si>
    <t xml:space="preserve">System credentials; network configuration data; access logs</t>
  </si>
  <si>
    <t xml:space="preserve">ISO 27001 A.15 / A.9</t>
  </si>
  <si>
    <t xml:space="preserve">Signed NDA and background checks for support staff; least-privilege remote access; full session logging and audit trail</t>
  </si>
  <si>
    <t xml:space="preserve">In Progress</t>
  </si>
  <si>
    <t xml:space="preserve">12-Sep-2025</t>
  </si>
  <si>
    <t xml:space="preserve">12-Sep-2026</t>
  </si>
  <si>
    <t xml:space="preserve">Assessment cadence: Critical/High inherent-risk vendors are reassessed annually at minimum; any vendor marked 'Under Review' or 'In Progress' requires a follow-up review within 90 days.</t>
  </si>
  <si>
    <t xml:space="preserve">RISK ANALYTICS – BY CATEGORY AND RISK OWNER</t>
  </si>
  <si>
    <t xml:space="preserve">Risk Category</t>
  </si>
  <si>
    <t xml:space="preserve">Avg. Inherent</t>
  </si>
  <si>
    <t xml:space="preserve">Avg. Residual</t>
  </si>
  <si>
    <t xml:space="preserve">Highest Inherent Score</t>
  </si>
  <si>
    <t xml:space="preserve">RISK SCORING METHODOLOGY &amp; GOVERNANCE</t>
  </si>
  <si>
    <t xml:space="preserve">1. Scoring Model</t>
  </si>
  <si>
    <t xml:space="preserve">Each risk is scored twice: Inherent (before controls) and Residual (after documented mitigations), using a 5×5 matrix: Risk Score = Probability (1-5) × Impact (1-5), giving a range of 1-25. This methodology is applied consistently across all governance, operational, and technical risk domains in this register.</t>
  </si>
  <si>
    <t xml:space="preserve">Probability Scale</t>
  </si>
  <si>
    <t xml:space="preserve">Score</t>
  </si>
  <si>
    <t xml:space="preserve">Definition</t>
  </si>
  <si>
    <t xml:space="preserve">Rare – may occur only in exceptional circumstances (&lt;10% likelihood within 12 months)</t>
  </si>
  <si>
    <t xml:space="preserve">Unlikely – could occur at some point (10–30% likelihood within 12 months)</t>
  </si>
  <si>
    <t xml:space="preserve">Possible – might occur at some point (30–50% likelihood within 12 months)</t>
  </si>
  <si>
    <t xml:space="preserve">Likely – will probably occur in most circumstances (50–80% likelihood within 12 months)</t>
  </si>
  <si>
    <t xml:space="preserve">Almost Certain – expected to occur in most circumstances (&gt;80% likelihood within 12 months)</t>
  </si>
  <si>
    <t xml:space="preserve">Impact Scale</t>
  </si>
  <si>
    <t xml:space="preserve">Negligible – minor operational inconvenience; no regulatory, financial, or reputational impact</t>
  </si>
  <si>
    <t xml:space="preserve">Minor – localized service disruption or cost &lt; $50K; no regulatory notification required</t>
  </si>
  <si>
    <t xml:space="preserve">Moderate – regional service disruption, cost $50K–$250K, or minor regulatory finding</t>
  </si>
  <si>
    <t xml:space="preserve">Major – multi-region disruption, cost $250K–$1M, regulatory investigation, or reportable data breach</t>
  </si>
  <si>
    <t xml:space="preserve">Severe – group-wide outage, cost &gt;$1M, loss of operating license, or large-scale customer data exposure</t>
  </si>
  <si>
    <t xml:space="preserve">Rating Bands &amp; Colour Code</t>
  </si>
  <si>
    <t xml:space="preserve">Score Range</t>
  </si>
  <si>
    <t xml:space="preserve">Rating / Required Action</t>
  </si>
  <si>
    <t xml:space="preserve">1-4</t>
  </si>
  <si>
    <t xml:space="preserve">Low – accept and monitor at next scheduled review</t>
  </si>
  <si>
    <t xml:space="preserve">5-9</t>
  </si>
  <si>
    <t xml:space="preserve">Medium – manage with existing controls; owner reviews semi-annually</t>
  </si>
  <si>
    <t xml:space="preserve">10-14</t>
  </si>
  <si>
    <t xml:space="preserve">High – active mitigation required; owner reviews quarterly</t>
  </si>
  <si>
    <t xml:space="preserve">15-25</t>
  </si>
  <si>
    <t xml:space="preserve">Critical – escalate to Risk &amp; Compliance Committee; owner reviews monthly</t>
  </si>
  <si>
    <t xml:space="preserve">2. Risk Appetite Statement</t>
  </si>
  <si>
    <t xml:space="preserve">The Board has approved a residual risk appetite ceiling of 8 (Medium). Any risk with a residual score above 8 is flagged 'Exceeds Appetite' and must be escalated to the Executive Risk &amp; Compliance Committee with an accelerated treatment plan. Risks within appetite remain subject to their standard review cadence (see rating bands above).</t>
  </si>
  <si>
    <t xml:space="preserve">3. Governance &amp; Change Log</t>
  </si>
  <si>
    <t xml:space="preserve">Date</t>
  </si>
  <si>
    <t xml:space="preserve">Change Description</t>
  </si>
  <si>
    <t xml:space="preserve">Initial Enterprise Risk Register established for Falcon Freight Solutions following the GRC governance audit and risk assessment workshop, covering compliance, operational, technical, and third-party risk domains.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</si>
</sst>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1F3864"/>
      <name val="Arial"/>
      <family val="0"/>
      <charset val="1"/>
    </font>
    <font>
      <b val="true"/>
      <sz val="18"/>
      <color rgb="FF404040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0"/>
      <color rgb="FFC00000"/>
      <name val="Arial"/>
      <family val="0"/>
      <charset val="1"/>
    </font>
    <font>
      <b val="true"/>
      <sz val="20"/>
      <color rgb="FFED7D31"/>
      <name val="Arial"/>
      <family val="0"/>
      <charset val="1"/>
    </font>
    <font>
      <b val="true"/>
      <sz val="20"/>
      <color rgb="FF70AD4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40404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404040"/>
      </patternFill>
    </fill>
    <fill>
      <patternFill patternType="solid">
        <fgColor rgb="FFED7D31"/>
        <bgColor rgb="FFDC853E"/>
      </patternFill>
    </fill>
    <fill>
      <patternFill patternType="solid">
        <fgColor rgb="FF70AD47"/>
        <bgColor rgb="FF8AA64F"/>
      </patternFill>
    </fill>
    <fill>
      <patternFill patternType="solid">
        <fgColor rgb="FFFFD966"/>
        <bgColor rgb="FFFFFF99"/>
      </patternFill>
    </fill>
    <fill>
      <patternFill patternType="solid">
        <fgColor rgb="FFFFFFFF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FBFBF"/>
      <rgbColor rgb="FF808080"/>
      <rgbColor rgb="FF93A9CE"/>
      <rgbColor rgb="FFAB4744"/>
      <rgbColor rgb="FFF2F2F2"/>
      <rgbColor rgb="FFCCFFFF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4672A8"/>
      <rgbColor rgb="FF70AD47"/>
      <rgbColor rgb="FF9BBB59"/>
      <rgbColor rgb="FFFFCC00"/>
      <rgbColor rgb="FFFF9900"/>
      <rgbColor rgb="FFED7D31"/>
      <rgbColor rgb="FF725990"/>
      <rgbColor rgb="FF878787"/>
      <rgbColor rgb="FF1F3864"/>
      <rgbColor rgb="FF4299B0"/>
      <rgbColor rgb="FF003300"/>
      <rgbColor rgb="FF333300"/>
      <rgbColor rgb="FF993300"/>
      <rgbColor rgb="FFC0504D"/>
      <rgbColor rgb="FF8064A2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Inherent Risk Distribution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'Executive Dashboard'!C19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'Executive Dashboard'!$B$20:$B$26</c:f>
              <c:strCache>
                <c:ptCount val="7"/>
                <c:pt idx="0">
                  <c:v>Compliance / Legal</c:v>
                </c:pt>
                <c:pt idx="1">
                  <c:v>Operational / Third-Party</c:v>
                </c:pt>
                <c:pt idx="2">
                  <c:v>Technical / Infrastructure</c:v>
                </c:pt>
                <c:pt idx="3">
                  <c:v>Technical / Cyber</c:v>
                </c:pt>
                <c:pt idx="4">
                  <c:v>Operational</c:v>
                </c:pt>
                <c:pt idx="5">
                  <c:v>Technical / Cloud</c:v>
                </c:pt>
                <c:pt idx="6">
                  <c:v>Governance</c:v>
                </c:pt>
              </c:strCache>
            </c:strRef>
          </c:cat>
          <c:val>
            <c:numRef>
              <c:f>'Executive Dashboard'!$C$20:$C$26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Risk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'Executive Dashboard'!C12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'Executive Dashboard'!$B$13:$B$16</c:f>
              <c:strCache>
                <c:ptCount val="4"/>
                <c:pt idx="0">
                  <c:v>Active</c:v>
                </c:pt>
                <c:pt idx="1">
                  <c:v>Monitoring</c:v>
                </c:pt>
                <c:pt idx="2">
                  <c:v>Mitigated</c:v>
                </c:pt>
                <c:pt idx="3">
                  <c:v>Closed</c:v>
                </c:pt>
              </c:strCache>
            </c:strRef>
          </c:cat>
          <c:val>
            <c:numRef>
              <c:f>'Executive Dashboard'!$C$13:$C$16</c:f>
              <c:numCache>
                <c:formatCode>General</c:formatCode>
                <c:ptCount val="4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Inherent vs. Residual Score by Risk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'Master Risk Register'!H4</c:f>
              <c:strCache>
                <c:ptCount val="1"/>
                <c:pt idx="0">
                  <c:v>Inherent Score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'Master Risk Register'!$A$5:$A$16</c:f>
              <c:strCache>
                <c:ptCount val="12"/>
                <c:pt idx="0">
                  <c:v>RSK-001</c:v>
                </c:pt>
                <c:pt idx="1">
                  <c:v>RSK-002</c:v>
                </c:pt>
                <c:pt idx="2">
                  <c:v>RSK-003</c:v>
                </c:pt>
                <c:pt idx="3">
                  <c:v>RSK-004</c:v>
                </c:pt>
                <c:pt idx="4">
                  <c:v>RSK-005</c:v>
                </c:pt>
                <c:pt idx="5">
                  <c:v>RSK-006</c:v>
                </c:pt>
                <c:pt idx="6">
                  <c:v>RSK-007</c:v>
                </c:pt>
                <c:pt idx="7">
                  <c:v>RSK-008</c:v>
                </c:pt>
                <c:pt idx="8">
                  <c:v>RSK-009</c:v>
                </c:pt>
                <c:pt idx="9">
                  <c:v>RSK-010</c:v>
                </c:pt>
                <c:pt idx="10">
                  <c:v>RSK-011</c:v>
                </c:pt>
                <c:pt idx="11">
                  <c:v>RSK-012</c:v>
                </c:pt>
              </c:strCache>
            </c:strRef>
          </c:cat>
          <c:val>
            <c:numRef>
              <c:f>'Master Risk Register'!$H$5:$H$16</c:f>
              <c:numCache>
                <c:formatCode>General</c:formatCode>
                <c:ptCount val="12"/>
                <c:pt idx="0">
                  <c:v>20</c:v>
                </c:pt>
                <c:pt idx="1">
                  <c:v>16</c:v>
                </c:pt>
                <c:pt idx="2">
                  <c:v>15</c:v>
                </c:pt>
                <c:pt idx="3">
                  <c:v>16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9</c:v>
                </c:pt>
                <c:pt idx="8">
                  <c:v>8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</c:numCache>
            </c:numRef>
          </c:val>
        </c:ser>
        <c:ser>
          <c:idx val="1"/>
          <c:order val="1"/>
          <c:tx>
            <c:strRef>
              <c:f>'Master Risk Register'!M4</c:f>
              <c:strCache>
                <c:ptCount val="1"/>
                <c:pt idx="0">
                  <c:v>Residual Score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'Master Risk Register'!$A$5:$A$16</c:f>
              <c:strCache>
                <c:ptCount val="12"/>
                <c:pt idx="0">
                  <c:v>RSK-001</c:v>
                </c:pt>
                <c:pt idx="1">
                  <c:v>RSK-002</c:v>
                </c:pt>
                <c:pt idx="2">
                  <c:v>RSK-003</c:v>
                </c:pt>
                <c:pt idx="3">
                  <c:v>RSK-004</c:v>
                </c:pt>
                <c:pt idx="4">
                  <c:v>RSK-005</c:v>
                </c:pt>
                <c:pt idx="5">
                  <c:v>RSK-006</c:v>
                </c:pt>
                <c:pt idx="6">
                  <c:v>RSK-007</c:v>
                </c:pt>
                <c:pt idx="7">
                  <c:v>RSK-008</c:v>
                </c:pt>
                <c:pt idx="8">
                  <c:v>RSK-009</c:v>
                </c:pt>
                <c:pt idx="9">
                  <c:v>RSK-010</c:v>
                </c:pt>
                <c:pt idx="10">
                  <c:v>RSK-011</c:v>
                </c:pt>
                <c:pt idx="11">
                  <c:v>RSK-012</c:v>
                </c:pt>
              </c:strCache>
            </c:strRef>
          </c:cat>
          <c:val>
            <c:numRef>
              <c:f>'Master Risk Register'!$M$5:$M$16</c:f>
              <c:numCache>
                <c:formatCode>General</c:formatCode>
                <c:ptCount val="12"/>
                <c:pt idx="0">
                  <c:v>8</c:v>
                </c:pt>
                <c:pt idx="1">
                  <c:v>6</c:v>
                </c:pt>
                <c:pt idx="2">
                  <c:v>4</c:v>
                </c:pt>
                <c:pt idx="3">
                  <c:v>6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</c:ser>
        <c:gapWidth val="150"/>
        <c:overlap val="0"/>
        <c:axId val="59118656"/>
        <c:axId val="34061129"/>
      </c:barChart>
      <c:catAx>
        <c:axId val="5911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061129"/>
        <c:crosses val="autoZero"/>
        <c:auto val="1"/>
        <c:lblAlgn val="ctr"/>
        <c:lblOffset val="100"/>
        <c:noMultiLvlLbl val="0"/>
      </c:catAx>
      <c:valAx>
        <c:axId val="340611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Risk Score (1-25)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1186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Risk Appetite Compliance (Residual)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'Executive Dashboard'!F12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Dashboard'!$E$13:$E$14</c:f>
              <c:strCache>
                <c:ptCount val="2"/>
                <c:pt idx="0">
                  <c:v>Within Appetite</c:v>
                </c:pt>
                <c:pt idx="1">
                  <c:v>Exceeds Appetite</c:v>
                </c:pt>
              </c:strCache>
            </c:strRef>
          </c:cat>
          <c:val>
            <c:numRef>
              <c:f>'Executive Dashboard'!$F$13:$F$14</c:f>
              <c:numCache>
                <c:formatCode>General</c:formatCode>
                <c:ptCount val="2"/>
                <c:pt idx="0">
                  <c:v>12</c:v>
                </c:pt>
                <c:pt idx="1">
                  <c:v>0</c:v>
                </c:pt>
              </c:numCache>
            </c:numRef>
          </c:val>
        </c:ser>
        <c:gapWidth val="150"/>
        <c:overlap val="0"/>
        <c:axId val="23394850"/>
        <c:axId val="3421838"/>
      </c:barChart>
      <c:catAx>
        <c:axId val="233948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21838"/>
        <c:crosses val="autoZero"/>
        <c:auto val="1"/>
        <c:lblAlgn val="ctr"/>
        <c:lblOffset val="100"/>
        <c:noMultiLvlLbl val="0"/>
      </c:catAx>
      <c:valAx>
        <c:axId val="34218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3948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Inherent vs. Residual Score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'Risk Analytics'!C3</c:f>
              <c:strCache>
                <c:ptCount val="1"/>
                <c:pt idx="0">
                  <c:v>Avg. Inherent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Analytics'!$A$4:$A$10</c:f>
              <c:strCache>
                <c:ptCount val="7"/>
                <c:pt idx="0">
                  <c:v>Compliance / Legal</c:v>
                </c:pt>
                <c:pt idx="1">
                  <c:v>Operational / Third-Party</c:v>
                </c:pt>
                <c:pt idx="2">
                  <c:v>Technical / Infrastructure</c:v>
                </c:pt>
                <c:pt idx="3">
                  <c:v>Technical / Cyber</c:v>
                </c:pt>
                <c:pt idx="4">
                  <c:v>Operational</c:v>
                </c:pt>
                <c:pt idx="5">
                  <c:v>Technical / Cloud</c:v>
                </c:pt>
                <c:pt idx="6">
                  <c:v>Governance</c:v>
                </c:pt>
              </c:strCache>
            </c:strRef>
          </c:cat>
          <c:val>
            <c:numRef>
              <c:f>'Risk Analytics'!$C$4:$C$10</c:f>
              <c:numCache>
                <c:formatCode>General</c:formatCode>
                <c:ptCount val="7"/>
                <c:pt idx="0">
                  <c:v>20</c:v>
                </c:pt>
                <c:pt idx="1">
                  <c:v>12.3</c:v>
                </c:pt>
                <c:pt idx="2">
                  <c:v>11.5</c:v>
                </c:pt>
                <c:pt idx="3">
                  <c:v>14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</c:numCache>
            </c:numRef>
          </c:val>
        </c:ser>
        <c:ser>
          <c:idx val="1"/>
          <c:order val="1"/>
          <c:tx>
            <c:strRef>
              <c:f>'Risk Analytics'!D3</c:f>
              <c:strCache>
                <c:ptCount val="1"/>
                <c:pt idx="0">
                  <c:v>Avg. Residual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Analytics'!$A$4:$A$10</c:f>
              <c:strCache>
                <c:ptCount val="7"/>
                <c:pt idx="0">
                  <c:v>Compliance / Legal</c:v>
                </c:pt>
                <c:pt idx="1">
                  <c:v>Operational / Third-Party</c:v>
                </c:pt>
                <c:pt idx="2">
                  <c:v>Technical / Infrastructure</c:v>
                </c:pt>
                <c:pt idx="3">
                  <c:v>Technical / Cyber</c:v>
                </c:pt>
                <c:pt idx="4">
                  <c:v>Operational</c:v>
                </c:pt>
                <c:pt idx="5">
                  <c:v>Technical / Cloud</c:v>
                </c:pt>
                <c:pt idx="6">
                  <c:v>Governance</c:v>
                </c:pt>
              </c:strCache>
            </c:strRef>
          </c:cat>
          <c:val>
            <c:numRef>
              <c:f>'Risk Analytics'!$D$4:$D$10</c:f>
              <c:numCache>
                <c:formatCode>General</c:formatCode>
                <c:ptCount val="7"/>
                <c:pt idx="0">
                  <c:v>8</c:v>
                </c:pt>
                <c:pt idx="1">
                  <c:v>4.7</c:v>
                </c:pt>
                <c:pt idx="2">
                  <c:v>4</c:v>
                </c:pt>
                <c:pt idx="3">
                  <c:v>5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</c:ser>
        <c:gapWidth val="150"/>
        <c:overlap val="0"/>
        <c:axId val="72711191"/>
        <c:axId val="19957700"/>
      </c:barChart>
      <c:catAx>
        <c:axId val="727111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Risk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57700"/>
        <c:crosses val="autoZero"/>
        <c:auto val="1"/>
        <c:lblAlgn val="ctr"/>
        <c:lblOffset val="100"/>
        <c:noMultiLvlLbl val="0"/>
      </c:catAx>
      <c:valAx>
        <c:axId val="199577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Score (1-25)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7111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Number of Risks by Owner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'Risk Analytics'!B13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Analytics'!$A$14:$A$21</c:f>
              <c:strCache>
                <c:ptCount val="8"/>
                <c:pt idx="0">
                  <c:v>Head of Legal &amp; Compliance</c:v>
                </c:pt>
                <c:pt idx="1">
                  <c:v>VP of Supply Chain &amp; Logistics</c:v>
                </c:pt>
                <c:pt idx="2">
                  <c:v>Director of IT &amp; Security</c:v>
                </c:pt>
                <c:pt idx="3">
                  <c:v>Cloud Security Architect</c:v>
                </c:pt>
                <c:pt idx="4">
                  <c:v>Head of Customs Brokerage</c:v>
                </c:pt>
                <c:pt idx="5">
                  <c:v>Regional Warehouse Manager</c:v>
                </c:pt>
                <c:pt idx="6">
                  <c:v>Regional Operations Director</c:v>
                </c:pt>
                <c:pt idx="7">
                  <c:v>Chief Operating Officer</c:v>
                </c:pt>
              </c:strCache>
            </c:strRef>
          </c:cat>
          <c:val>
            <c:numRef>
              <c:f>'Risk Analytics'!$B$14:$B$21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gapWidth val="150"/>
        <c:overlap val="0"/>
        <c:axId val="47891148"/>
        <c:axId val="79240862"/>
      </c:barChart>
      <c:catAx>
        <c:axId val="4789114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40862"/>
        <c:crosses val="autoZero"/>
        <c:auto val="1"/>
        <c:lblAlgn val="ctr"/>
        <c:lblOffset val="100"/>
        <c:noMultiLvlLbl val="0"/>
      </c:catAx>
      <c:valAx>
        <c:axId val="792408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Risk Owner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911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20</xdr:row>
      <xdr:rowOff>0</xdr:rowOff>
    </xdr:from>
    <xdr:to>
      <xdr:col>4</xdr:col>
      <xdr:colOff>90360</xdr:colOff>
      <xdr:row>35</xdr:row>
      <xdr:rowOff>22320</xdr:rowOff>
    </xdr:to>
    <xdr:graphicFrame>
      <xdr:nvGraphicFramePr>
        <xdr:cNvPr id="0" name="Chart 1"/>
        <xdr:cNvGraphicFramePr/>
      </xdr:nvGraphicFramePr>
      <xdr:xfrm>
        <a:off x="211320" y="45626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20</xdr:row>
      <xdr:rowOff>0</xdr:rowOff>
    </xdr:from>
    <xdr:to>
      <xdr:col>8</xdr:col>
      <xdr:colOff>90720</xdr:colOff>
      <xdr:row>35</xdr:row>
      <xdr:rowOff>22320</xdr:rowOff>
    </xdr:to>
    <xdr:graphicFrame>
      <xdr:nvGraphicFramePr>
        <xdr:cNvPr id="1" name="Chart 2"/>
        <xdr:cNvGraphicFramePr/>
      </xdr:nvGraphicFramePr>
      <xdr:xfrm>
        <a:off x="5850360" y="45626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7</xdr:col>
      <xdr:colOff>181440</xdr:colOff>
      <xdr:row>54</xdr:row>
      <xdr:rowOff>1080</xdr:rowOff>
    </xdr:to>
    <xdr:graphicFrame>
      <xdr:nvGraphicFramePr>
        <xdr:cNvPr id="2" name="Chart 3"/>
        <xdr:cNvGraphicFramePr/>
      </xdr:nvGraphicFramePr>
      <xdr:xfrm>
        <a:off x="211320" y="780084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37</xdr:row>
      <xdr:rowOff>0</xdr:rowOff>
    </xdr:from>
    <xdr:to>
      <xdr:col>8</xdr:col>
      <xdr:colOff>90720</xdr:colOff>
      <xdr:row>52</xdr:row>
      <xdr:rowOff>21960</xdr:rowOff>
    </xdr:to>
    <xdr:graphicFrame>
      <xdr:nvGraphicFramePr>
        <xdr:cNvPr id="3" name="Chart 4"/>
        <xdr:cNvGraphicFramePr/>
      </xdr:nvGraphicFramePr>
      <xdr:xfrm>
        <a:off x="5850360" y="78008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16</xdr:col>
      <xdr:colOff>82800</xdr:colOff>
      <xdr:row>15</xdr:row>
      <xdr:rowOff>102240</xdr:rowOff>
    </xdr:to>
    <xdr:graphicFrame>
      <xdr:nvGraphicFramePr>
        <xdr:cNvPr id="4" name="Chart 1"/>
        <xdr:cNvGraphicFramePr/>
      </xdr:nvGraphicFramePr>
      <xdr:xfrm>
        <a:off x="5145480" y="514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12</xdr:row>
      <xdr:rowOff>230760</xdr:rowOff>
    </xdr:from>
    <xdr:to>
      <xdr:col>16</xdr:col>
      <xdr:colOff>82800</xdr:colOff>
      <xdr:row>29</xdr:row>
      <xdr:rowOff>81360</xdr:rowOff>
    </xdr:to>
    <xdr:graphicFrame>
      <xdr:nvGraphicFramePr>
        <xdr:cNvPr id="5" name="Chart 2"/>
        <xdr:cNvGraphicFramePr/>
      </xdr:nvGraphicFramePr>
      <xdr:xfrm>
        <a:off x="5145480" y="2800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G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7" min="2" style="0" width="18"/>
    <col collapsed="false" customWidth="true" hidden="false" outlineLevel="0" max="8" min="8" style="0" width="4"/>
  </cols>
  <sheetData>
    <row r="4" customFormat="false" ht="31.5" hidden="false" customHeight="false" outlineLevel="0" collapsed="false">
      <c r="B4" s="1" t="s">
        <v>0</v>
      </c>
      <c r="C4" s="1"/>
      <c r="D4" s="1"/>
      <c r="E4" s="1"/>
      <c r="F4" s="1"/>
      <c r="G4" s="1"/>
    </row>
    <row r="6" customFormat="false" ht="22.05" hidden="false" customHeight="false" outlineLevel="0" collapsed="false">
      <c r="B6" s="2" t="s">
        <v>1</v>
      </c>
      <c r="C6" s="2"/>
      <c r="D6" s="2"/>
      <c r="E6" s="2"/>
      <c r="F6" s="2"/>
      <c r="G6" s="2"/>
    </row>
    <row r="8" customFormat="false" ht="15" hidden="false" customHeight="false" outlineLevel="0" collapsed="false">
      <c r="B8" s="3" t="s">
        <v>2</v>
      </c>
      <c r="C8" s="3"/>
      <c r="D8" s="3"/>
      <c r="E8" s="3"/>
      <c r="F8" s="3"/>
      <c r="G8" s="3"/>
    </row>
    <row r="10" customFormat="false" ht="24" hidden="false" customHeight="true" outlineLevel="0" collapsed="false">
      <c r="B10" s="4" t="s">
        <v>3</v>
      </c>
      <c r="C10" s="4"/>
      <c r="D10" s="4"/>
      <c r="E10" s="4"/>
      <c r="F10" s="4"/>
      <c r="G10" s="4"/>
    </row>
    <row r="13" customFormat="false" ht="18" hidden="false" customHeight="true" outlineLevel="0" collapsed="false">
      <c r="B13" s="5" t="s">
        <v>4</v>
      </c>
      <c r="C13" s="5"/>
      <c r="D13" s="6" t="s">
        <v>5</v>
      </c>
      <c r="E13" s="6"/>
      <c r="F13" s="6"/>
      <c r="G13" s="6"/>
    </row>
    <row r="14" customFormat="false" ht="18" hidden="false" customHeight="true" outlineLevel="0" collapsed="false">
      <c r="B14" s="5" t="s">
        <v>6</v>
      </c>
      <c r="C14" s="5"/>
      <c r="D14" s="6" t="s">
        <v>7</v>
      </c>
      <c r="E14" s="6"/>
      <c r="F14" s="6"/>
      <c r="G14" s="6"/>
    </row>
    <row r="15" customFormat="false" ht="18" hidden="false" customHeight="true" outlineLevel="0" collapsed="false">
      <c r="B15" s="5" t="s">
        <v>8</v>
      </c>
      <c r="C15" s="5"/>
      <c r="D15" s="6" t="s">
        <v>9</v>
      </c>
      <c r="E15" s="6"/>
      <c r="F15" s="6"/>
      <c r="G15" s="6"/>
    </row>
    <row r="16" customFormat="false" ht="18" hidden="false" customHeight="true" outlineLevel="0" collapsed="false">
      <c r="B16" s="5" t="s">
        <v>10</v>
      </c>
      <c r="C16" s="5"/>
      <c r="D16" s="6" t="s">
        <v>11</v>
      </c>
      <c r="E16" s="6"/>
      <c r="F16" s="6"/>
      <c r="G16" s="6"/>
    </row>
    <row r="17" customFormat="false" ht="18" hidden="false" customHeight="true" outlineLevel="0" collapsed="false">
      <c r="B17" s="5" t="s">
        <v>12</v>
      </c>
      <c r="C17" s="5"/>
      <c r="D17" s="6" t="s">
        <v>13</v>
      </c>
      <c r="E17" s="6"/>
      <c r="F17" s="6"/>
      <c r="G17" s="6"/>
    </row>
    <row r="18" customFormat="false" ht="18" hidden="false" customHeight="true" outlineLevel="0" collapsed="false">
      <c r="B18" s="5" t="s">
        <v>14</v>
      </c>
      <c r="C18" s="5"/>
      <c r="D18" s="6" t="s">
        <v>15</v>
      </c>
      <c r="E18" s="6"/>
      <c r="F18" s="6"/>
      <c r="G18" s="6"/>
    </row>
    <row r="19" customFormat="false" ht="27.75" hidden="false" customHeight="true" outlineLevel="0" collapsed="false">
      <c r="B19" s="5" t="s">
        <v>16</v>
      </c>
      <c r="C19" s="5"/>
      <c r="D19" s="6" t="s">
        <v>17</v>
      </c>
      <c r="E19" s="6"/>
      <c r="F19" s="6"/>
      <c r="G19" s="6"/>
    </row>
    <row r="20" customFormat="false" ht="27.75" hidden="false" customHeight="true" outlineLevel="0" collapsed="false">
      <c r="B20" s="5" t="s">
        <v>18</v>
      </c>
      <c r="C20" s="5"/>
      <c r="D20" s="6" t="s">
        <v>19</v>
      </c>
      <c r="E20" s="6"/>
      <c r="F20" s="6"/>
      <c r="G20" s="6"/>
    </row>
    <row r="22" customFormat="false" ht="30" hidden="false" customHeight="true" outlineLevel="0" collapsed="false">
      <c r="B22" s="7" t="s">
        <v>20</v>
      </c>
      <c r="C22" s="7"/>
      <c r="D22" s="7"/>
      <c r="E22" s="7"/>
      <c r="F22" s="7"/>
      <c r="G22" s="7"/>
    </row>
  </sheetData>
  <mergeCells count="21">
    <mergeCell ref="B4:G4"/>
    <mergeCell ref="B6:G6"/>
    <mergeCell ref="B8:G8"/>
    <mergeCell ref="B10:G10"/>
    <mergeCell ref="B13:C13"/>
    <mergeCell ref="D13:G13"/>
    <mergeCell ref="B14:C14"/>
    <mergeCell ref="D14:G14"/>
    <mergeCell ref="B15:C15"/>
    <mergeCell ref="D15:G15"/>
    <mergeCell ref="B16:C16"/>
    <mergeCell ref="D16:G16"/>
    <mergeCell ref="B17:C17"/>
    <mergeCell ref="D17:G17"/>
    <mergeCell ref="B18:C18"/>
    <mergeCell ref="D18:G18"/>
    <mergeCell ref="B19:C19"/>
    <mergeCell ref="D19:G19"/>
    <mergeCell ref="B20:C20"/>
    <mergeCell ref="D20:G20"/>
    <mergeCell ref="B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20"/>
    <col collapsed="false" customWidth="true" hidden="false" outlineLevel="0" max="10" min="10" style="0" width="3"/>
  </cols>
  <sheetData>
    <row r="2" customFormat="false" ht="27.75" hidden="false" customHeight="true" outlineLevel="0" collapsed="false">
      <c r="B2" s="8" t="s">
        <v>21</v>
      </c>
      <c r="C2" s="8"/>
      <c r="D2" s="8"/>
      <c r="E2" s="8"/>
      <c r="F2" s="8"/>
      <c r="G2" s="8"/>
      <c r="H2" s="8"/>
      <c r="I2" s="8"/>
    </row>
    <row r="3" customFormat="false" ht="15" hidden="false" customHeight="false" outlineLevel="0" collapsed="false">
      <c r="B3" s="9" t="s">
        <v>22</v>
      </c>
      <c r="C3" s="9"/>
      <c r="D3" s="9"/>
      <c r="E3" s="9"/>
      <c r="F3" s="9"/>
      <c r="G3" s="9"/>
      <c r="H3" s="9"/>
      <c r="I3" s="9"/>
    </row>
    <row r="5" customFormat="false" ht="19.5" hidden="false" customHeight="true" outlineLevel="0" collapsed="false">
      <c r="B5" s="10" t="s">
        <v>23</v>
      </c>
      <c r="C5" s="10"/>
      <c r="D5" s="11" t="s">
        <v>24</v>
      </c>
      <c r="E5" s="11"/>
      <c r="F5" s="12" t="s">
        <v>25</v>
      </c>
      <c r="G5" s="12"/>
      <c r="H5" s="13" t="s">
        <v>26</v>
      </c>
      <c r="I5" s="13"/>
    </row>
    <row r="6" customFormat="false" ht="33.75" hidden="false" customHeight="true" outlineLevel="0" collapsed="false">
      <c r="B6" s="14" t="n">
        <f aca="false">COUNTA('Master Risk Register'!$A$5:$A$16)</f>
        <v>12</v>
      </c>
      <c r="C6" s="14"/>
      <c r="D6" s="15" t="n">
        <f aca="false">COUNTIF('Master Risk Register'!$I$5:$I$16,"Critical")+COUNTIF('Master Risk Register'!$I$5:$I$16,"High")</f>
        <v>10</v>
      </c>
      <c r="E6" s="15"/>
      <c r="F6" s="16" t="n">
        <f aca="false">ROUND(AVERAGE('Master Risk Register'!$H$5:$H$16),1)</f>
        <v>13</v>
      </c>
      <c r="G6" s="16"/>
      <c r="H6" s="17" t="n">
        <f aca="false">ROUND(AVERAGE('Master Risk Register'!$M$5:$M$16),1)</f>
        <v>4.5</v>
      </c>
      <c r="I6" s="17"/>
    </row>
    <row r="8" customFormat="false" ht="19.5" hidden="false" customHeight="true" outlineLevel="0" collapsed="false">
      <c r="B8" s="13" t="s">
        <v>27</v>
      </c>
      <c r="C8" s="13"/>
      <c r="D8" s="11" t="s">
        <v>28</v>
      </c>
      <c r="E8" s="11"/>
      <c r="F8" s="12" t="s">
        <v>29</v>
      </c>
      <c r="G8" s="12"/>
      <c r="H8" s="10" t="s">
        <v>30</v>
      </c>
      <c r="I8" s="10"/>
    </row>
    <row r="9" customFormat="false" ht="33.75" hidden="false" customHeight="true" outlineLevel="0" collapsed="false">
      <c r="B9" s="18" t="n">
        <f aca="false">(AVERAGE('Master Risk Register'!$H$5:$H$16)-AVERAGE('Master Risk Register'!$M$5:$M$16))/AVERAGE('Master Risk Register'!$H$5:$H$16)</f>
        <v>0.653846153846154</v>
      </c>
      <c r="C9" s="18"/>
      <c r="D9" s="15" t="n">
        <f aca="false">COUNTIF('Master Risk Register'!$O$5:$O$16,"Exceeds Appetite")</f>
        <v>0</v>
      </c>
      <c r="E9" s="15"/>
      <c r="F9" s="16" t="n">
        <f aca="true">COUNTIF('Master Risk Register'!$R$5:$R$16,"&lt;"&amp;TODAY())</f>
        <v>0</v>
      </c>
      <c r="G9" s="16"/>
      <c r="H9" s="14" t="n">
        <f aca="false">COUNTA('Third-Party Vendor Register'!$A$5:$A$9)</f>
        <v>5</v>
      </c>
      <c r="I9" s="14"/>
    </row>
    <row r="12" customFormat="false" ht="15" hidden="false" customHeight="false" outlineLevel="0" collapsed="false">
      <c r="B12" s="19" t="s">
        <v>31</v>
      </c>
      <c r="C12" s="19" t="s">
        <v>32</v>
      </c>
      <c r="E12" s="19" t="s">
        <v>33</v>
      </c>
      <c r="F12" s="19" t="s">
        <v>32</v>
      </c>
    </row>
    <row r="13" customFormat="false" ht="15" hidden="false" customHeight="false" outlineLevel="0" collapsed="false">
      <c r="B13" s="20" t="s">
        <v>34</v>
      </c>
      <c r="C13" s="21" t="n">
        <f aca="false">COUNTIF('Master Risk Register'!$S$5:$S$16,B13)</f>
        <v>12</v>
      </c>
      <c r="E13" s="20" t="s">
        <v>35</v>
      </c>
      <c r="F13" s="21" t="n">
        <f aca="false">COUNTIF('Master Risk Register'!$O$5:$O$16,E13)</f>
        <v>12</v>
      </c>
    </row>
    <row r="14" customFormat="false" ht="15" hidden="false" customHeight="false" outlineLevel="0" collapsed="false">
      <c r="B14" s="20" t="s">
        <v>36</v>
      </c>
      <c r="C14" s="21" t="n">
        <f aca="false">COUNTIF('Master Risk Register'!$S$5:$S$16,B14)</f>
        <v>0</v>
      </c>
      <c r="E14" s="20" t="s">
        <v>37</v>
      </c>
      <c r="F14" s="21" t="n">
        <f aca="false">COUNTIF('Master Risk Register'!$O$5:$O$16,E14)</f>
        <v>0</v>
      </c>
    </row>
    <row r="15" customFormat="false" ht="15" hidden="false" customHeight="false" outlineLevel="0" collapsed="false">
      <c r="B15" s="20" t="s">
        <v>38</v>
      </c>
      <c r="C15" s="21" t="n">
        <f aca="false">COUNTIF('Master Risk Register'!$S$5:$S$16,B15)</f>
        <v>0</v>
      </c>
    </row>
    <row r="16" customFormat="false" ht="15" hidden="false" customHeight="false" outlineLevel="0" collapsed="false">
      <c r="B16" s="20" t="s">
        <v>39</v>
      </c>
      <c r="C16" s="21" t="n">
        <f aca="false">COUNTIF('Master Risk Register'!$S$5:$S$16,B16)</f>
        <v>0</v>
      </c>
    </row>
    <row r="19" customFormat="false" ht="15" hidden="false" customHeight="false" outlineLevel="0" collapsed="false">
      <c r="B19" s="22" t="s">
        <v>40</v>
      </c>
      <c r="C19" s="22" t="s">
        <v>32</v>
      </c>
    </row>
    <row r="20" customFormat="false" ht="15" hidden="false" customHeight="false" outlineLevel="0" collapsed="false">
      <c r="B20" s="0" t="str">
        <f aca="false">'Risk Analytics'!A4</f>
        <v>Compliance / Legal</v>
      </c>
      <c r="C20" s="0" t="n">
        <f aca="false">'Risk Analytics'!B4</f>
        <v>1</v>
      </c>
    </row>
    <row r="21" customFormat="false" ht="15" hidden="false" customHeight="false" outlineLevel="0" collapsed="false">
      <c r="B21" s="0" t="str">
        <f aca="false">'Risk Analytics'!A5</f>
        <v>Operational / Third-Party</v>
      </c>
      <c r="C21" s="0" t="n">
        <f aca="false">'Risk Analytics'!B5</f>
        <v>3</v>
      </c>
    </row>
    <row r="22" customFormat="false" ht="15" hidden="false" customHeight="false" outlineLevel="0" collapsed="false">
      <c r="B22" s="0" t="str">
        <f aca="false">'Risk Analytics'!A6</f>
        <v>Technical / Infrastructure</v>
      </c>
      <c r="C22" s="0" t="n">
        <f aca="false">'Risk Analytics'!B6</f>
        <v>2</v>
      </c>
    </row>
    <row r="23" customFormat="false" ht="15" hidden="false" customHeight="false" outlineLevel="0" collapsed="false">
      <c r="B23" s="0" t="str">
        <f aca="false">'Risk Analytics'!A7</f>
        <v>Technical / Cyber</v>
      </c>
      <c r="C23" s="0" t="n">
        <f aca="false">'Risk Analytics'!B7</f>
        <v>2</v>
      </c>
    </row>
    <row r="24" customFormat="false" ht="15" hidden="false" customHeight="false" outlineLevel="0" collapsed="false">
      <c r="B24" s="0" t="str">
        <f aca="false">'Risk Analytics'!A8</f>
        <v>Operational</v>
      </c>
      <c r="C24" s="0" t="n">
        <f aca="false">'Risk Analytics'!B8</f>
        <v>2</v>
      </c>
    </row>
    <row r="25" customFormat="false" ht="15" hidden="false" customHeight="false" outlineLevel="0" collapsed="false">
      <c r="B25" s="0" t="str">
        <f aca="false">'Risk Analytics'!A9</f>
        <v>Technical / Cloud</v>
      </c>
      <c r="C25" s="0" t="n">
        <f aca="false">'Risk Analytics'!B9</f>
        <v>1</v>
      </c>
    </row>
    <row r="26" customFormat="false" ht="15" hidden="false" customHeight="false" outlineLevel="0" collapsed="false">
      <c r="B26" s="0" t="str">
        <f aca="false">'Risk Analytics'!A10</f>
        <v>Governance</v>
      </c>
      <c r="C26" s="0" t="n">
        <f aca="false">'Risk Analytics'!B10</f>
        <v>1</v>
      </c>
    </row>
    <row r="56" customFormat="false" ht="27.75" hidden="false" customHeight="true" outlineLevel="0" collapsed="false">
      <c r="B56" s="7" t="s">
        <v>41</v>
      </c>
      <c r="C56" s="7"/>
      <c r="D56" s="7"/>
      <c r="E56" s="7"/>
      <c r="F56" s="7"/>
      <c r="G56" s="7"/>
      <c r="H56" s="7"/>
      <c r="I56" s="7"/>
    </row>
  </sheetData>
  <mergeCells count="19">
    <mergeCell ref="B2:I2"/>
    <mergeCell ref="B3:I3"/>
    <mergeCell ref="B5:C5"/>
    <mergeCell ref="D5:E5"/>
    <mergeCell ref="F5:G5"/>
    <mergeCell ref="H5:I5"/>
    <mergeCell ref="B6:C6"/>
    <mergeCell ref="D6:E6"/>
    <mergeCell ref="F6:G6"/>
    <mergeCell ref="H6:I6"/>
    <mergeCell ref="B8:C8"/>
    <mergeCell ref="D8:E8"/>
    <mergeCell ref="F8:G8"/>
    <mergeCell ref="H8:I8"/>
    <mergeCell ref="B9:C9"/>
    <mergeCell ref="D9:E9"/>
    <mergeCell ref="F9:G9"/>
    <mergeCell ref="H9:I9"/>
    <mergeCell ref="B56:I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8" min="6" style="0" width="10"/>
    <col collapsed="false" customWidth="true" hidden="false" outlineLevel="0" max="9" min="9" style="0" width="11"/>
    <col collapsed="false" customWidth="true" hidden="false" outlineLevel="0" max="10" min="10" style="0" width="40"/>
    <col collapsed="false" customWidth="true" hidden="false" outlineLevel="0" max="13" min="11" style="0" width="10"/>
    <col collapsed="false" customWidth="true" hidden="false" outlineLevel="0" max="14" min="14" style="0" width="11"/>
    <col collapsed="false" customWidth="true" hidden="false" outlineLevel="0" max="15" min="15" style="0" width="15"/>
    <col collapsed="false" customWidth="true" hidden="false" outlineLevel="0" max="16" min="16" style="0" width="26"/>
    <col collapsed="false" customWidth="true" hidden="false" outlineLevel="0" max="17" min="17" style="0" width="12"/>
    <col collapsed="false" customWidth="true" hidden="false" outlineLevel="0" max="18" min="18" style="0" width="13"/>
    <col collapsed="false" customWidth="true" hidden="false" outlineLevel="0" max="19" min="19" style="0" width="10"/>
  </cols>
  <sheetData>
    <row r="1" customFormat="false" ht="25.5" hidden="false" customHeight="true" outlineLevel="0" collapsed="false">
      <c r="A1" s="8" t="s">
        <v>42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customFormat="false" ht="15" hidden="false" customHeight="false" outlineLevel="0" collapsed="false">
      <c r="A2" s="9" t="s">
        <v>43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4" customFormat="false" ht="31.5" hidden="false" customHeight="true" outlineLevel="0" collapsed="false">
      <c r="A4" s="19" t="s">
        <v>44</v>
      </c>
      <c r="B4" s="19" t="s">
        <v>40</v>
      </c>
      <c r="C4" s="19" t="s">
        <v>45</v>
      </c>
      <c r="D4" s="19" t="s">
        <v>46</v>
      </c>
      <c r="E4" s="19" t="s">
        <v>47</v>
      </c>
      <c r="F4" s="19" t="s">
        <v>48</v>
      </c>
      <c r="G4" s="19" t="s">
        <v>49</v>
      </c>
      <c r="H4" s="19" t="s">
        <v>50</v>
      </c>
      <c r="I4" s="19" t="s">
        <v>51</v>
      </c>
      <c r="J4" s="19" t="s">
        <v>52</v>
      </c>
      <c r="K4" s="19" t="s">
        <v>53</v>
      </c>
      <c r="L4" s="19" t="s">
        <v>54</v>
      </c>
      <c r="M4" s="19" t="s">
        <v>55</v>
      </c>
      <c r="N4" s="19" t="s">
        <v>56</v>
      </c>
      <c r="O4" s="19" t="s">
        <v>57</v>
      </c>
      <c r="P4" s="19" t="s">
        <v>58</v>
      </c>
      <c r="Q4" s="19" t="s">
        <v>59</v>
      </c>
      <c r="R4" s="19" t="s">
        <v>60</v>
      </c>
      <c r="S4" s="19" t="s">
        <v>31</v>
      </c>
    </row>
    <row r="5" customFormat="false" ht="57.75" hidden="false" customHeight="true" outlineLevel="0" collapsed="false">
      <c r="A5" s="23" t="s">
        <v>61</v>
      </c>
      <c r="B5" s="23" t="s">
        <v>62</v>
      </c>
      <c r="C5" s="20" t="s">
        <v>63</v>
      </c>
      <c r="D5" s="23" t="s">
        <v>7</v>
      </c>
      <c r="E5" s="23" t="s">
        <v>64</v>
      </c>
      <c r="F5" s="23" t="n">
        <v>4</v>
      </c>
      <c r="G5" s="23" t="n">
        <v>5</v>
      </c>
      <c r="H5" s="23" t="n">
        <f aca="false">F5*G5</f>
        <v>20</v>
      </c>
      <c r="I5" s="24" t="str">
        <f aca="false">IF(H5&gt;=15,"Critical",IF(H5&gt;=10,"High",IF(H5&gt;=5,"Medium","Low")))</f>
        <v>Critical</v>
      </c>
      <c r="J5" s="20" t="s">
        <v>65</v>
      </c>
      <c r="K5" s="23" t="n">
        <v>2</v>
      </c>
      <c r="L5" s="23" t="n">
        <v>4</v>
      </c>
      <c r="M5" s="23" t="n">
        <f aca="false">K5*L5</f>
        <v>8</v>
      </c>
      <c r="N5" s="25" t="str">
        <f aca="false">IF(M5&gt;=15,"Critical",IF(M5&gt;=10,"High",IF(M5&gt;=5,"Medium","Low")))</f>
        <v>Medium</v>
      </c>
      <c r="O5" s="26" t="str">
        <f aca="false">IF(M5&gt;8,"Exceeds Appetite","Within Appetite")</f>
        <v>Within Appetite</v>
      </c>
      <c r="P5" s="23" t="s">
        <v>66</v>
      </c>
      <c r="Q5" s="23" t="s">
        <v>67</v>
      </c>
      <c r="R5" s="23" t="s">
        <v>68</v>
      </c>
      <c r="S5" s="23" t="s">
        <v>34</v>
      </c>
    </row>
    <row r="6" customFormat="false" ht="57.75" hidden="false" customHeight="true" outlineLevel="0" collapsed="false">
      <c r="A6" s="23" t="s">
        <v>69</v>
      </c>
      <c r="B6" s="23" t="s">
        <v>70</v>
      </c>
      <c r="C6" s="20" t="s">
        <v>71</v>
      </c>
      <c r="D6" s="23" t="s">
        <v>72</v>
      </c>
      <c r="E6" s="23" t="s">
        <v>64</v>
      </c>
      <c r="F6" s="23" t="n">
        <v>4</v>
      </c>
      <c r="G6" s="23" t="n">
        <v>4</v>
      </c>
      <c r="H6" s="23" t="n">
        <f aca="false">F6*G6</f>
        <v>16</v>
      </c>
      <c r="I6" s="24" t="str">
        <f aca="false">IF(H6&gt;=15,"Critical",IF(H6&gt;=10,"High",IF(H6&gt;=5,"Medium","Low")))</f>
        <v>Critical</v>
      </c>
      <c r="J6" s="20" t="s">
        <v>73</v>
      </c>
      <c r="K6" s="23" t="n">
        <v>2</v>
      </c>
      <c r="L6" s="23" t="n">
        <v>3</v>
      </c>
      <c r="M6" s="23" t="n">
        <f aca="false">K6*L6</f>
        <v>6</v>
      </c>
      <c r="N6" s="25" t="str">
        <f aca="false">IF(M6&gt;=15,"Critical",IF(M6&gt;=10,"High",IF(M6&gt;=5,"Medium","Low")))</f>
        <v>Medium</v>
      </c>
      <c r="O6" s="26" t="str">
        <f aca="false">IF(M6&gt;8,"Exceeds Appetite","Within Appetite")</f>
        <v>Within Appetite</v>
      </c>
      <c r="P6" s="23" t="s">
        <v>74</v>
      </c>
      <c r="Q6" s="23" t="s">
        <v>75</v>
      </c>
      <c r="R6" s="23" t="s">
        <v>76</v>
      </c>
      <c r="S6" s="23" t="s">
        <v>34</v>
      </c>
    </row>
    <row r="7" customFormat="false" ht="57.75" hidden="false" customHeight="true" outlineLevel="0" collapsed="false">
      <c r="A7" s="23" t="s">
        <v>77</v>
      </c>
      <c r="B7" s="23" t="s">
        <v>78</v>
      </c>
      <c r="C7" s="20" t="s">
        <v>79</v>
      </c>
      <c r="D7" s="23" t="s">
        <v>80</v>
      </c>
      <c r="E7" s="23" t="s">
        <v>64</v>
      </c>
      <c r="F7" s="23" t="n">
        <v>3</v>
      </c>
      <c r="G7" s="23" t="n">
        <v>5</v>
      </c>
      <c r="H7" s="23" t="n">
        <f aca="false">F7*G7</f>
        <v>15</v>
      </c>
      <c r="I7" s="24" t="str">
        <f aca="false">IF(H7&gt;=15,"Critical",IF(H7&gt;=10,"High",IF(H7&gt;=5,"Medium","Low")))</f>
        <v>Critical</v>
      </c>
      <c r="J7" s="20" t="s">
        <v>81</v>
      </c>
      <c r="K7" s="23" t="n">
        <v>1</v>
      </c>
      <c r="L7" s="23" t="n">
        <v>4</v>
      </c>
      <c r="M7" s="23" t="n">
        <f aca="false">K7*L7</f>
        <v>4</v>
      </c>
      <c r="N7" s="27" t="str">
        <f aca="false">IF(M7&gt;=15,"Critical",IF(M7&gt;=10,"High",IF(M7&gt;=5,"Medium","Low")))</f>
        <v>Low</v>
      </c>
      <c r="O7" s="26" t="str">
        <f aca="false">IF(M7&gt;8,"Exceeds Appetite","Within Appetite")</f>
        <v>Within Appetite</v>
      </c>
      <c r="P7" s="23" t="s">
        <v>82</v>
      </c>
      <c r="Q7" s="23" t="s">
        <v>83</v>
      </c>
      <c r="R7" s="23" t="s">
        <v>84</v>
      </c>
      <c r="S7" s="23" t="s">
        <v>34</v>
      </c>
    </row>
    <row r="8" customFormat="false" ht="57.75" hidden="false" customHeight="true" outlineLevel="0" collapsed="false">
      <c r="A8" s="23" t="s">
        <v>85</v>
      </c>
      <c r="B8" s="23" t="s">
        <v>86</v>
      </c>
      <c r="C8" s="20" t="s">
        <v>87</v>
      </c>
      <c r="D8" s="23" t="s">
        <v>80</v>
      </c>
      <c r="E8" s="23" t="s">
        <v>64</v>
      </c>
      <c r="F8" s="23" t="n">
        <v>4</v>
      </c>
      <c r="G8" s="23" t="n">
        <v>4</v>
      </c>
      <c r="H8" s="23" t="n">
        <f aca="false">F8*G8</f>
        <v>16</v>
      </c>
      <c r="I8" s="24" t="str">
        <f aca="false">IF(H8&gt;=15,"Critical",IF(H8&gt;=10,"High",IF(H8&gt;=5,"Medium","Low")))</f>
        <v>Critical</v>
      </c>
      <c r="J8" s="20" t="s">
        <v>88</v>
      </c>
      <c r="K8" s="23" t="n">
        <v>2</v>
      </c>
      <c r="L8" s="23" t="n">
        <v>3</v>
      </c>
      <c r="M8" s="23" t="n">
        <f aca="false">K8*L8</f>
        <v>6</v>
      </c>
      <c r="N8" s="25" t="str">
        <f aca="false">IF(M8&gt;=15,"Critical",IF(M8&gt;=10,"High",IF(M8&gt;=5,"Medium","Low")))</f>
        <v>Medium</v>
      </c>
      <c r="O8" s="26" t="str">
        <f aca="false">IF(M8&gt;8,"Exceeds Appetite","Within Appetite")</f>
        <v>Within Appetite</v>
      </c>
      <c r="P8" s="23" t="s">
        <v>89</v>
      </c>
      <c r="Q8" s="23" t="s">
        <v>90</v>
      </c>
      <c r="R8" s="23" t="s">
        <v>91</v>
      </c>
      <c r="S8" s="23" t="s">
        <v>34</v>
      </c>
    </row>
    <row r="9" customFormat="false" ht="57.75" hidden="false" customHeight="true" outlineLevel="0" collapsed="false">
      <c r="A9" s="23" t="s">
        <v>92</v>
      </c>
      <c r="B9" s="23" t="s">
        <v>93</v>
      </c>
      <c r="C9" s="20" t="s">
        <v>94</v>
      </c>
      <c r="D9" s="23" t="s">
        <v>80</v>
      </c>
      <c r="E9" s="23" t="s">
        <v>64</v>
      </c>
      <c r="F9" s="23" t="n">
        <v>3</v>
      </c>
      <c r="G9" s="23" t="n">
        <v>4</v>
      </c>
      <c r="H9" s="23" t="n">
        <f aca="false">F9*G9</f>
        <v>12</v>
      </c>
      <c r="I9" s="28" t="str">
        <f aca="false">IF(H9&gt;=15,"Critical",IF(H9&gt;=10,"High",IF(H9&gt;=5,"Medium","Low")))</f>
        <v>High</v>
      </c>
      <c r="J9" s="20" t="s">
        <v>95</v>
      </c>
      <c r="K9" s="23" t="n">
        <v>1</v>
      </c>
      <c r="L9" s="23" t="n">
        <v>3</v>
      </c>
      <c r="M9" s="23" t="n">
        <f aca="false">K9*L9</f>
        <v>3</v>
      </c>
      <c r="N9" s="27" t="str">
        <f aca="false">IF(M9&gt;=15,"Critical",IF(M9&gt;=10,"High",IF(M9&gt;=5,"Medium","Low")))</f>
        <v>Low</v>
      </c>
      <c r="O9" s="26" t="str">
        <f aca="false">IF(M9&gt;8,"Exceeds Appetite","Within Appetite")</f>
        <v>Within Appetite</v>
      </c>
      <c r="P9" s="23" t="s">
        <v>96</v>
      </c>
      <c r="Q9" s="23" t="s">
        <v>83</v>
      </c>
      <c r="R9" s="23" t="s">
        <v>84</v>
      </c>
      <c r="S9" s="23" t="s">
        <v>34</v>
      </c>
    </row>
    <row r="10" customFormat="false" ht="57.75" hidden="false" customHeight="true" outlineLevel="0" collapsed="false">
      <c r="A10" s="23" t="s">
        <v>97</v>
      </c>
      <c r="B10" s="23" t="s">
        <v>98</v>
      </c>
      <c r="C10" s="20" t="s">
        <v>99</v>
      </c>
      <c r="D10" s="23" t="s">
        <v>100</v>
      </c>
      <c r="E10" s="23" t="s">
        <v>64</v>
      </c>
      <c r="F10" s="23" t="n">
        <v>3</v>
      </c>
      <c r="G10" s="23" t="n">
        <v>4</v>
      </c>
      <c r="H10" s="23" t="n">
        <f aca="false">F10*G10</f>
        <v>12</v>
      </c>
      <c r="I10" s="28" t="str">
        <f aca="false">IF(H10&gt;=15,"Critical",IF(H10&gt;=10,"High",IF(H10&gt;=5,"Medium","Low")))</f>
        <v>High</v>
      </c>
      <c r="J10" s="20" t="s">
        <v>101</v>
      </c>
      <c r="K10" s="23" t="n">
        <v>1</v>
      </c>
      <c r="L10" s="23" t="n">
        <v>4</v>
      </c>
      <c r="M10" s="23" t="n">
        <f aca="false">K10*L10</f>
        <v>4</v>
      </c>
      <c r="N10" s="27" t="str">
        <f aca="false">IF(M10&gt;=15,"Critical",IF(M10&gt;=10,"High",IF(M10&gt;=5,"Medium","Low")))</f>
        <v>Low</v>
      </c>
      <c r="O10" s="26" t="str">
        <f aca="false">IF(M10&gt;8,"Exceeds Appetite","Within Appetite")</f>
        <v>Within Appetite</v>
      </c>
      <c r="P10" s="23" t="s">
        <v>102</v>
      </c>
      <c r="Q10" s="23" t="s">
        <v>103</v>
      </c>
      <c r="R10" s="23" t="s">
        <v>104</v>
      </c>
      <c r="S10" s="23" t="s">
        <v>34</v>
      </c>
    </row>
    <row r="11" customFormat="false" ht="57.75" hidden="false" customHeight="true" outlineLevel="0" collapsed="false">
      <c r="A11" s="23" t="s">
        <v>105</v>
      </c>
      <c r="B11" s="23" t="s">
        <v>70</v>
      </c>
      <c r="C11" s="20" t="s">
        <v>106</v>
      </c>
      <c r="D11" s="23" t="s">
        <v>107</v>
      </c>
      <c r="E11" s="23" t="s">
        <v>64</v>
      </c>
      <c r="F11" s="23" t="n">
        <v>4</v>
      </c>
      <c r="G11" s="23" t="n">
        <v>3</v>
      </c>
      <c r="H11" s="23" t="n">
        <f aca="false">F11*G11</f>
        <v>12</v>
      </c>
      <c r="I11" s="28" t="str">
        <f aca="false">IF(H11&gt;=15,"Critical",IF(H11&gt;=10,"High",IF(H11&gt;=5,"Medium","Low")))</f>
        <v>High</v>
      </c>
      <c r="J11" s="20" t="s">
        <v>108</v>
      </c>
      <c r="K11" s="23" t="n">
        <v>2</v>
      </c>
      <c r="L11" s="23" t="n">
        <v>2</v>
      </c>
      <c r="M11" s="23" t="n">
        <f aca="false">K11*L11</f>
        <v>4</v>
      </c>
      <c r="N11" s="27" t="str">
        <f aca="false">IF(M11&gt;=15,"Critical",IF(M11&gt;=10,"High",IF(M11&gt;=5,"Medium","Low")))</f>
        <v>Low</v>
      </c>
      <c r="O11" s="26" t="str">
        <f aca="false">IF(M11&gt;8,"Exceeds Appetite","Within Appetite")</f>
        <v>Within Appetite</v>
      </c>
      <c r="P11" s="23" t="s">
        <v>109</v>
      </c>
      <c r="Q11" s="23" t="s">
        <v>110</v>
      </c>
      <c r="R11" s="23" t="s">
        <v>111</v>
      </c>
      <c r="S11" s="23" t="s">
        <v>34</v>
      </c>
    </row>
    <row r="12" customFormat="false" ht="57.75" hidden="false" customHeight="true" outlineLevel="0" collapsed="false">
      <c r="A12" s="23" t="s">
        <v>112</v>
      </c>
      <c r="B12" s="23" t="s">
        <v>70</v>
      </c>
      <c r="C12" s="20" t="s">
        <v>113</v>
      </c>
      <c r="D12" s="23" t="s">
        <v>72</v>
      </c>
      <c r="E12" s="23" t="s">
        <v>114</v>
      </c>
      <c r="F12" s="23" t="n">
        <v>3</v>
      </c>
      <c r="G12" s="23" t="n">
        <v>3</v>
      </c>
      <c r="H12" s="23" t="n">
        <f aca="false">F12*G12</f>
        <v>9</v>
      </c>
      <c r="I12" s="25" t="str">
        <f aca="false">IF(H12&gt;=15,"Critical",IF(H12&gt;=10,"High",IF(H12&gt;=5,"Medium","Low")))</f>
        <v>Medium</v>
      </c>
      <c r="J12" s="20" t="s">
        <v>115</v>
      </c>
      <c r="K12" s="23" t="n">
        <v>2</v>
      </c>
      <c r="L12" s="23" t="n">
        <v>2</v>
      </c>
      <c r="M12" s="23" t="n">
        <f aca="false">K12*L12</f>
        <v>4</v>
      </c>
      <c r="N12" s="27" t="str">
        <f aca="false">IF(M12&gt;=15,"Critical",IF(M12&gt;=10,"High",IF(M12&gt;=5,"Medium","Low")))</f>
        <v>Low</v>
      </c>
      <c r="O12" s="26" t="str">
        <f aca="false">IF(M12&gt;8,"Exceeds Appetite","Within Appetite")</f>
        <v>Within Appetite</v>
      </c>
      <c r="P12" s="23" t="s">
        <v>116</v>
      </c>
      <c r="Q12" s="23" t="s">
        <v>117</v>
      </c>
      <c r="R12" s="23" t="s">
        <v>118</v>
      </c>
      <c r="S12" s="23" t="s">
        <v>34</v>
      </c>
    </row>
    <row r="13" customFormat="false" ht="57.75" hidden="false" customHeight="true" outlineLevel="0" collapsed="false">
      <c r="A13" s="23" t="s">
        <v>119</v>
      </c>
      <c r="B13" s="23" t="s">
        <v>78</v>
      </c>
      <c r="C13" s="20" t="s">
        <v>120</v>
      </c>
      <c r="D13" s="23" t="s">
        <v>121</v>
      </c>
      <c r="E13" s="23" t="s">
        <v>114</v>
      </c>
      <c r="F13" s="23" t="n">
        <v>2</v>
      </c>
      <c r="G13" s="23" t="n">
        <v>4</v>
      </c>
      <c r="H13" s="23" t="n">
        <f aca="false">F13*G13</f>
        <v>8</v>
      </c>
      <c r="I13" s="25" t="str">
        <f aca="false">IF(H13&gt;=15,"Critical",IF(H13&gt;=10,"High",IF(H13&gt;=5,"Medium","Low")))</f>
        <v>Medium</v>
      </c>
      <c r="J13" s="20" t="s">
        <v>122</v>
      </c>
      <c r="K13" s="23" t="n">
        <v>1</v>
      </c>
      <c r="L13" s="23" t="n">
        <v>4</v>
      </c>
      <c r="M13" s="23" t="n">
        <f aca="false">K13*L13</f>
        <v>4</v>
      </c>
      <c r="N13" s="27" t="str">
        <f aca="false">IF(M13&gt;=15,"Critical",IF(M13&gt;=10,"High",IF(M13&gt;=5,"Medium","Low")))</f>
        <v>Low</v>
      </c>
      <c r="O13" s="26" t="str">
        <f aca="false">IF(M13&gt;8,"Exceeds Appetite","Within Appetite")</f>
        <v>Within Appetite</v>
      </c>
      <c r="P13" s="23" t="s">
        <v>123</v>
      </c>
      <c r="Q13" s="23" t="s">
        <v>124</v>
      </c>
      <c r="R13" s="23" t="s">
        <v>125</v>
      </c>
      <c r="S13" s="23" t="s">
        <v>34</v>
      </c>
    </row>
    <row r="14" customFormat="false" ht="57.75" hidden="false" customHeight="true" outlineLevel="0" collapsed="false">
      <c r="A14" s="23" t="s">
        <v>126</v>
      </c>
      <c r="B14" s="23" t="s">
        <v>86</v>
      </c>
      <c r="C14" s="20" t="s">
        <v>127</v>
      </c>
      <c r="D14" s="23" t="s">
        <v>100</v>
      </c>
      <c r="E14" s="23" t="s">
        <v>64</v>
      </c>
      <c r="F14" s="23" t="n">
        <v>3</v>
      </c>
      <c r="G14" s="23" t="n">
        <v>4</v>
      </c>
      <c r="H14" s="23" t="n">
        <f aca="false">F14*G14</f>
        <v>12</v>
      </c>
      <c r="I14" s="28" t="str">
        <f aca="false">IF(H14&gt;=15,"Critical",IF(H14&gt;=10,"High",IF(H14&gt;=5,"Medium","Low")))</f>
        <v>High</v>
      </c>
      <c r="J14" s="20" t="s">
        <v>128</v>
      </c>
      <c r="K14" s="23" t="n">
        <v>1</v>
      </c>
      <c r="L14" s="23" t="n">
        <v>4</v>
      </c>
      <c r="M14" s="23" t="n">
        <f aca="false">K14*L14</f>
        <v>4</v>
      </c>
      <c r="N14" s="27" t="str">
        <f aca="false">IF(M14&gt;=15,"Critical",IF(M14&gt;=10,"High",IF(M14&gt;=5,"Medium","Low")))</f>
        <v>Low</v>
      </c>
      <c r="O14" s="26" t="str">
        <f aca="false">IF(M14&gt;8,"Exceeds Appetite","Within Appetite")</f>
        <v>Within Appetite</v>
      </c>
      <c r="P14" s="23" t="s">
        <v>129</v>
      </c>
      <c r="Q14" s="23" t="s">
        <v>130</v>
      </c>
      <c r="R14" s="23" t="s">
        <v>131</v>
      </c>
      <c r="S14" s="23" t="s">
        <v>34</v>
      </c>
    </row>
    <row r="15" customFormat="false" ht="57.75" hidden="false" customHeight="true" outlineLevel="0" collapsed="false">
      <c r="A15" s="23" t="s">
        <v>132</v>
      </c>
      <c r="B15" s="23" t="s">
        <v>133</v>
      </c>
      <c r="C15" s="20" t="s">
        <v>134</v>
      </c>
      <c r="D15" s="23" t="s">
        <v>135</v>
      </c>
      <c r="E15" s="23" t="s">
        <v>64</v>
      </c>
      <c r="F15" s="23" t="n">
        <v>4</v>
      </c>
      <c r="G15" s="23" t="n">
        <v>3</v>
      </c>
      <c r="H15" s="23" t="n">
        <f aca="false">F15*G15</f>
        <v>12</v>
      </c>
      <c r="I15" s="28" t="str">
        <f aca="false">IF(H15&gt;=15,"Critical",IF(H15&gt;=10,"High",IF(H15&gt;=5,"Medium","Low")))</f>
        <v>High</v>
      </c>
      <c r="J15" s="20" t="s">
        <v>136</v>
      </c>
      <c r="K15" s="23" t="n">
        <v>2</v>
      </c>
      <c r="L15" s="23" t="n">
        <v>2</v>
      </c>
      <c r="M15" s="23" t="n">
        <f aca="false">K15*L15</f>
        <v>4</v>
      </c>
      <c r="N15" s="27" t="str">
        <f aca="false">IF(M15&gt;=15,"Critical",IF(M15&gt;=10,"High",IF(M15&gt;=5,"Medium","Low")))</f>
        <v>Low</v>
      </c>
      <c r="O15" s="26" t="str">
        <f aca="false">IF(M15&gt;8,"Exceeds Appetite","Within Appetite")</f>
        <v>Within Appetite</v>
      </c>
      <c r="P15" s="23" t="s">
        <v>137</v>
      </c>
      <c r="Q15" s="23" t="s">
        <v>138</v>
      </c>
      <c r="R15" s="23" t="s">
        <v>139</v>
      </c>
      <c r="S15" s="23" t="s">
        <v>34</v>
      </c>
    </row>
    <row r="16" customFormat="false" ht="57.75" hidden="false" customHeight="true" outlineLevel="0" collapsed="false">
      <c r="A16" s="23" t="s">
        <v>140</v>
      </c>
      <c r="B16" s="23" t="s">
        <v>93</v>
      </c>
      <c r="C16" s="20" t="s">
        <v>141</v>
      </c>
      <c r="D16" s="23" t="s">
        <v>142</v>
      </c>
      <c r="E16" s="23" t="s">
        <v>64</v>
      </c>
      <c r="F16" s="23" t="n">
        <v>3</v>
      </c>
      <c r="G16" s="23" t="n">
        <v>4</v>
      </c>
      <c r="H16" s="23" t="n">
        <f aca="false">F16*G16</f>
        <v>12</v>
      </c>
      <c r="I16" s="28" t="str">
        <f aca="false">IF(H16&gt;=15,"Critical",IF(H16&gt;=10,"High",IF(H16&gt;=5,"Medium","Low")))</f>
        <v>High</v>
      </c>
      <c r="J16" s="20" t="s">
        <v>143</v>
      </c>
      <c r="K16" s="23" t="n">
        <v>1</v>
      </c>
      <c r="L16" s="23" t="n">
        <v>3</v>
      </c>
      <c r="M16" s="23" t="n">
        <f aca="false">K16*L16</f>
        <v>3</v>
      </c>
      <c r="N16" s="27" t="str">
        <f aca="false">IF(M16&gt;=15,"Critical",IF(M16&gt;=10,"High",IF(M16&gt;=5,"Medium","Low")))</f>
        <v>Low</v>
      </c>
      <c r="O16" s="26" t="str">
        <f aca="false">IF(M16&gt;8,"Exceeds Appetite","Within Appetite")</f>
        <v>Within Appetite</v>
      </c>
      <c r="P16" s="23" t="s">
        <v>144</v>
      </c>
      <c r="Q16" s="23" t="s">
        <v>145</v>
      </c>
      <c r="R16" s="23" t="s">
        <v>146</v>
      </c>
      <c r="S16" s="23" t="s">
        <v>34</v>
      </c>
    </row>
    <row r="18" customFormat="false" ht="27.75" hidden="false" customHeight="true" outlineLevel="0" collapsed="false">
      <c r="A18" s="7" t="s">
        <v>147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</sheetData>
  <mergeCells count="3">
    <mergeCell ref="A1:S1"/>
    <mergeCell ref="A2:S2"/>
    <mergeCell ref="A18:S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1"/>
    <col collapsed="false" customWidth="true" hidden="false" outlineLevel="0" max="8" min="8" style="0" width="4"/>
  </cols>
  <sheetData>
    <row r="1" customFormat="false" ht="25.5" hidden="false" customHeight="true" outlineLevel="0" collapsed="false">
      <c r="A1" s="8" t="s">
        <v>148</v>
      </c>
      <c r="B1" s="8"/>
      <c r="C1" s="8"/>
      <c r="D1" s="8"/>
      <c r="E1" s="8"/>
      <c r="F1" s="8"/>
      <c r="G1" s="8"/>
      <c r="H1" s="8"/>
    </row>
    <row r="2" customFormat="false" ht="15" hidden="false" customHeight="false" outlineLevel="0" collapsed="false">
      <c r="A2" s="9" t="s">
        <v>149</v>
      </c>
      <c r="B2" s="9"/>
      <c r="C2" s="9"/>
      <c r="D2" s="9"/>
      <c r="E2" s="9"/>
      <c r="F2" s="9"/>
      <c r="G2" s="9"/>
      <c r="H2" s="9"/>
    </row>
    <row r="4" customFormat="false" ht="16.15" hidden="false" customHeight="false" outlineLevel="0" collapsed="false">
      <c r="A4" s="29" t="s">
        <v>150</v>
      </c>
      <c r="B4" s="29"/>
      <c r="C4" s="29"/>
      <c r="D4" s="29"/>
      <c r="E4" s="29"/>
      <c r="F4" s="29"/>
      <c r="G4" s="29"/>
      <c r="H4" s="29"/>
    </row>
    <row r="5" customFormat="false" ht="15" hidden="false" customHeight="false" outlineLevel="0" collapsed="false">
      <c r="A5" s="30" t="s">
        <v>151</v>
      </c>
      <c r="B5" s="31" t="n">
        <v>1</v>
      </c>
      <c r="C5" s="31" t="n">
        <v>2</v>
      </c>
      <c r="D5" s="31" t="n">
        <v>3</v>
      </c>
      <c r="E5" s="31" t="n">
        <v>4</v>
      </c>
      <c r="F5" s="31" t="n">
        <v>5</v>
      </c>
    </row>
    <row r="6" customFormat="false" ht="30" hidden="false" customHeight="true" outlineLevel="0" collapsed="false">
      <c r="A6" s="31" t="n">
        <v>5</v>
      </c>
      <c r="B6" s="32"/>
      <c r="C6" s="32"/>
      <c r="D6" s="33" t="s">
        <v>77</v>
      </c>
      <c r="E6" s="33" t="s">
        <v>61</v>
      </c>
      <c r="F6" s="32"/>
    </row>
    <row r="7" customFormat="false" ht="30" hidden="false" customHeight="true" outlineLevel="0" collapsed="false">
      <c r="A7" s="31" t="n">
        <v>4</v>
      </c>
      <c r="B7" s="32"/>
      <c r="C7" s="34" t="s">
        <v>119</v>
      </c>
      <c r="D7" s="35" t="s">
        <v>152</v>
      </c>
      <c r="E7" s="33" t="s">
        <v>153</v>
      </c>
      <c r="F7" s="32"/>
    </row>
    <row r="8" customFormat="false" ht="30" hidden="false" customHeight="true" outlineLevel="0" collapsed="false">
      <c r="A8" s="31" t="n">
        <v>3</v>
      </c>
      <c r="B8" s="32"/>
      <c r="C8" s="32"/>
      <c r="D8" s="34" t="s">
        <v>112</v>
      </c>
      <c r="E8" s="35" t="s">
        <v>154</v>
      </c>
      <c r="F8" s="32"/>
    </row>
    <row r="9" customFormat="false" ht="30" hidden="false" customHeight="true" outlineLevel="0" collapsed="false">
      <c r="A9" s="31" t="n">
        <v>2</v>
      </c>
      <c r="B9" s="32"/>
      <c r="C9" s="32"/>
      <c r="D9" s="32"/>
      <c r="E9" s="32"/>
      <c r="F9" s="32"/>
    </row>
    <row r="10" customFormat="false" ht="30" hidden="false" customHeight="true" outlineLevel="0" collapsed="false">
      <c r="A10" s="31" t="n">
        <v>1</v>
      </c>
      <c r="B10" s="32"/>
      <c r="C10" s="32"/>
      <c r="D10" s="32"/>
      <c r="E10" s="32"/>
      <c r="F10" s="32"/>
    </row>
    <row r="11" customFormat="false" ht="15" hidden="false" customHeight="false" outlineLevel="0" collapsed="false">
      <c r="A11" s="9" t="s">
        <v>155</v>
      </c>
      <c r="B11" s="9"/>
      <c r="C11" s="9"/>
      <c r="D11" s="9"/>
      <c r="E11" s="9"/>
      <c r="F11" s="9"/>
      <c r="G11" s="9"/>
      <c r="H11" s="9"/>
    </row>
    <row r="14" customFormat="false" ht="16.15" hidden="false" customHeight="false" outlineLevel="0" collapsed="false">
      <c r="A14" s="29" t="s">
        <v>156</v>
      </c>
      <c r="B14" s="29"/>
      <c r="C14" s="29"/>
      <c r="D14" s="29"/>
      <c r="E14" s="29"/>
      <c r="F14" s="29"/>
      <c r="G14" s="29"/>
      <c r="H14" s="29"/>
    </row>
    <row r="15" customFormat="false" ht="15" hidden="false" customHeight="false" outlineLevel="0" collapsed="false">
      <c r="A15" s="30" t="s">
        <v>151</v>
      </c>
      <c r="B15" s="31" t="n">
        <v>1</v>
      </c>
      <c r="C15" s="31" t="n">
        <v>2</v>
      </c>
      <c r="D15" s="31" t="n">
        <v>3</v>
      </c>
      <c r="E15" s="31" t="n">
        <v>4</v>
      </c>
      <c r="F15" s="31" t="n">
        <v>5</v>
      </c>
    </row>
    <row r="16" customFormat="false" ht="30" hidden="false" customHeight="true" outlineLevel="0" collapsed="false">
      <c r="A16" s="31" t="n">
        <v>5</v>
      </c>
      <c r="B16" s="32"/>
      <c r="C16" s="32"/>
      <c r="D16" s="32"/>
      <c r="E16" s="32"/>
      <c r="F16" s="32"/>
    </row>
    <row r="17" customFormat="false" ht="30" hidden="false" customHeight="true" outlineLevel="0" collapsed="false">
      <c r="A17" s="31" t="n">
        <v>4</v>
      </c>
      <c r="B17" s="36" t="s">
        <v>157</v>
      </c>
      <c r="C17" s="34" t="s">
        <v>61</v>
      </c>
      <c r="D17" s="32"/>
      <c r="E17" s="32"/>
      <c r="F17" s="32"/>
    </row>
    <row r="18" customFormat="false" ht="30" hidden="false" customHeight="true" outlineLevel="0" collapsed="false">
      <c r="A18" s="31" t="n">
        <v>3</v>
      </c>
      <c r="B18" s="36" t="s">
        <v>158</v>
      </c>
      <c r="C18" s="34" t="s">
        <v>153</v>
      </c>
      <c r="D18" s="32"/>
      <c r="E18" s="32"/>
      <c r="F18" s="32"/>
    </row>
    <row r="19" customFormat="false" ht="30" hidden="false" customHeight="true" outlineLevel="0" collapsed="false">
      <c r="A19" s="31" t="n">
        <v>2</v>
      </c>
      <c r="B19" s="32"/>
      <c r="C19" s="36" t="s">
        <v>159</v>
      </c>
      <c r="D19" s="32"/>
      <c r="E19" s="32"/>
      <c r="F19" s="32"/>
    </row>
    <row r="20" customFormat="false" ht="30" hidden="false" customHeight="true" outlineLevel="0" collapsed="false">
      <c r="A20" s="31" t="n">
        <v>1</v>
      </c>
      <c r="B20" s="32"/>
      <c r="C20" s="32"/>
      <c r="D20" s="32"/>
      <c r="E20" s="32"/>
      <c r="F20" s="32"/>
    </row>
    <row r="21" customFormat="false" ht="15" hidden="false" customHeight="false" outlineLevel="0" collapsed="false">
      <c r="A21" s="9" t="s">
        <v>155</v>
      </c>
      <c r="B21" s="9"/>
      <c r="C21" s="9"/>
      <c r="D21" s="9"/>
      <c r="E21" s="9"/>
      <c r="F21" s="9"/>
      <c r="G21" s="9"/>
      <c r="H21" s="9"/>
    </row>
    <row r="24" customFormat="false" ht="15" hidden="false" customHeight="false" outlineLevel="0" collapsed="false">
      <c r="A24" s="37" t="s">
        <v>160</v>
      </c>
      <c r="B24" s="37"/>
      <c r="C24" s="37"/>
      <c r="D24" s="37"/>
      <c r="E24" s="37"/>
      <c r="F24" s="37"/>
      <c r="G24" s="37"/>
      <c r="H24" s="37"/>
    </row>
    <row r="25" customFormat="false" ht="15" hidden="false" customHeight="false" outlineLevel="0" collapsed="false">
      <c r="A25" s="38" t="s">
        <v>161</v>
      </c>
      <c r="C25" s="39" t="s">
        <v>162</v>
      </c>
      <c r="E25" s="40" t="s">
        <v>163</v>
      </c>
      <c r="G25" s="41" t="s">
        <v>164</v>
      </c>
    </row>
    <row r="27" customFormat="false" ht="39.75" hidden="false" customHeight="true" outlineLevel="0" collapsed="false">
      <c r="A27" s="7" t="s">
        <v>165</v>
      </c>
      <c r="B27" s="7"/>
      <c r="C27" s="7"/>
      <c r="D27" s="7"/>
      <c r="E27" s="7"/>
      <c r="F27" s="7"/>
      <c r="G27" s="7"/>
      <c r="H27" s="7"/>
    </row>
  </sheetData>
  <mergeCells count="8">
    <mergeCell ref="A1:H1"/>
    <mergeCell ref="A2:H2"/>
    <mergeCell ref="A4:H4"/>
    <mergeCell ref="A11:H11"/>
    <mergeCell ref="A14:H14"/>
    <mergeCell ref="A21:H21"/>
    <mergeCell ref="A24:H24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2"/>
    <col collapsed="false" customWidth="true" hidden="false" outlineLevel="0" max="4" min="4" style="0" width="32"/>
    <col collapsed="false" customWidth="true" hidden="false" outlineLevel="0" max="5" min="5" style="0" width="30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40"/>
    <col collapsed="false" customWidth="true" hidden="false" outlineLevel="0" max="12" min="9" style="0" width="13"/>
    <col collapsed="false" customWidth="true" hidden="false" outlineLevel="0" max="13" min="13" style="0" width="20"/>
  </cols>
  <sheetData>
    <row r="1" customFormat="false" ht="25.5" hidden="false" customHeight="true" outlineLevel="0" collapsed="false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customFormat="false" ht="15" hidden="false" customHeight="false" outlineLevel="0" collapsed="false">
      <c r="A2" s="9" t="s">
        <v>167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4" customFormat="false" ht="31.5" hidden="false" customHeight="true" outlineLevel="0" collapsed="false">
      <c r="A4" s="19" t="s">
        <v>168</v>
      </c>
      <c r="B4" s="19" t="s">
        <v>169</v>
      </c>
      <c r="C4" s="19" t="s">
        <v>170</v>
      </c>
      <c r="D4" s="19" t="s">
        <v>171</v>
      </c>
      <c r="E4" s="19" t="s">
        <v>172</v>
      </c>
      <c r="F4" s="19" t="s">
        <v>173</v>
      </c>
      <c r="G4" s="19" t="s">
        <v>174</v>
      </c>
      <c r="H4" s="19" t="s">
        <v>175</v>
      </c>
      <c r="I4" s="19" t="s">
        <v>176</v>
      </c>
      <c r="J4" s="19" t="s">
        <v>177</v>
      </c>
      <c r="K4" s="19" t="s">
        <v>178</v>
      </c>
      <c r="L4" s="19" t="s">
        <v>179</v>
      </c>
      <c r="M4" s="19" t="s">
        <v>46</v>
      </c>
    </row>
    <row r="5" customFormat="false" ht="55.5" hidden="false" customHeight="true" outlineLevel="0" collapsed="false">
      <c r="A5" s="23" t="s">
        <v>180</v>
      </c>
      <c r="B5" s="23" t="s">
        <v>181</v>
      </c>
      <c r="C5" s="23" t="s">
        <v>182</v>
      </c>
      <c r="D5" s="20" t="s">
        <v>183</v>
      </c>
      <c r="E5" s="20" t="s">
        <v>184</v>
      </c>
      <c r="F5" s="23" t="s">
        <v>185</v>
      </c>
      <c r="G5" s="28" t="s">
        <v>186</v>
      </c>
      <c r="H5" s="20" t="s">
        <v>187</v>
      </c>
      <c r="I5" s="23" t="s">
        <v>188</v>
      </c>
      <c r="J5" s="23" t="s">
        <v>189</v>
      </c>
      <c r="K5" s="23" t="s">
        <v>190</v>
      </c>
      <c r="L5" s="27" t="s">
        <v>191</v>
      </c>
      <c r="M5" s="23" t="s">
        <v>100</v>
      </c>
    </row>
    <row r="6" customFormat="false" ht="55.5" hidden="false" customHeight="true" outlineLevel="0" collapsed="false">
      <c r="A6" s="23" t="s">
        <v>192</v>
      </c>
      <c r="B6" s="23" t="s">
        <v>193</v>
      </c>
      <c r="C6" s="23" t="s">
        <v>194</v>
      </c>
      <c r="D6" s="20" t="s">
        <v>195</v>
      </c>
      <c r="E6" s="20" t="s">
        <v>196</v>
      </c>
      <c r="F6" s="23" t="s">
        <v>197</v>
      </c>
      <c r="G6" s="25" t="s">
        <v>198</v>
      </c>
      <c r="H6" s="20" t="s">
        <v>199</v>
      </c>
      <c r="I6" s="23" t="s">
        <v>188</v>
      </c>
      <c r="J6" s="23" t="s">
        <v>200</v>
      </c>
      <c r="K6" s="23" t="s">
        <v>201</v>
      </c>
      <c r="L6" s="27" t="s">
        <v>191</v>
      </c>
      <c r="M6" s="23" t="s">
        <v>80</v>
      </c>
    </row>
    <row r="7" customFormat="false" ht="55.5" hidden="false" customHeight="true" outlineLevel="0" collapsed="false">
      <c r="A7" s="23" t="s">
        <v>202</v>
      </c>
      <c r="B7" s="23" t="s">
        <v>203</v>
      </c>
      <c r="C7" s="23" t="s">
        <v>204</v>
      </c>
      <c r="D7" s="20" t="s">
        <v>205</v>
      </c>
      <c r="E7" s="20" t="s">
        <v>206</v>
      </c>
      <c r="F7" s="23" t="s">
        <v>207</v>
      </c>
      <c r="G7" s="28" t="s">
        <v>186</v>
      </c>
      <c r="H7" s="20" t="s">
        <v>208</v>
      </c>
      <c r="I7" s="23" t="s">
        <v>209</v>
      </c>
      <c r="J7" s="23" t="s">
        <v>210</v>
      </c>
      <c r="K7" s="23" t="s">
        <v>211</v>
      </c>
      <c r="L7" s="25" t="s">
        <v>198</v>
      </c>
      <c r="M7" s="23" t="s">
        <v>72</v>
      </c>
    </row>
    <row r="8" customFormat="false" ht="55.5" hidden="false" customHeight="true" outlineLevel="0" collapsed="false">
      <c r="A8" s="23" t="s">
        <v>212</v>
      </c>
      <c r="B8" s="23" t="s">
        <v>213</v>
      </c>
      <c r="C8" s="23" t="s">
        <v>214</v>
      </c>
      <c r="D8" s="20" t="s">
        <v>215</v>
      </c>
      <c r="E8" s="20" t="s">
        <v>216</v>
      </c>
      <c r="F8" s="23" t="s">
        <v>217</v>
      </c>
      <c r="G8" s="28" t="s">
        <v>186</v>
      </c>
      <c r="H8" s="20" t="s">
        <v>218</v>
      </c>
      <c r="I8" s="23" t="s">
        <v>188</v>
      </c>
      <c r="J8" s="23" t="s">
        <v>117</v>
      </c>
      <c r="K8" s="23" t="s">
        <v>219</v>
      </c>
      <c r="L8" s="27" t="s">
        <v>191</v>
      </c>
      <c r="M8" s="23" t="s">
        <v>7</v>
      </c>
    </row>
    <row r="9" customFormat="false" ht="55.5" hidden="false" customHeight="true" outlineLevel="0" collapsed="false">
      <c r="A9" s="23" t="s">
        <v>220</v>
      </c>
      <c r="B9" s="23" t="s">
        <v>221</v>
      </c>
      <c r="C9" s="23" t="s">
        <v>222</v>
      </c>
      <c r="D9" s="20" t="s">
        <v>223</v>
      </c>
      <c r="E9" s="20" t="s">
        <v>224</v>
      </c>
      <c r="F9" s="23" t="s">
        <v>225</v>
      </c>
      <c r="G9" s="25" t="s">
        <v>198</v>
      </c>
      <c r="H9" s="20" t="s">
        <v>226</v>
      </c>
      <c r="I9" s="23" t="s">
        <v>227</v>
      </c>
      <c r="J9" s="23" t="s">
        <v>228</v>
      </c>
      <c r="K9" s="23" t="s">
        <v>229</v>
      </c>
      <c r="L9" s="25" t="s">
        <v>198</v>
      </c>
      <c r="M9" s="23" t="s">
        <v>80</v>
      </c>
    </row>
    <row r="11" customFormat="false" ht="27.75" hidden="false" customHeight="true" outlineLevel="0" collapsed="false">
      <c r="A11" s="7" t="s">
        <v>230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</sheetData>
  <mergeCells count="3">
    <mergeCell ref="A1:M1"/>
    <mergeCell ref="A2:M2"/>
    <mergeCell ref="A11:M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6" min="5" style="0" width="4"/>
  </cols>
  <sheetData>
    <row r="1" customFormat="false" ht="25.5" hidden="false" customHeight="true" outlineLevel="0" collapsed="false">
      <c r="A1" s="8" t="s">
        <v>231</v>
      </c>
      <c r="B1" s="8"/>
      <c r="C1" s="8"/>
      <c r="D1" s="8"/>
      <c r="E1" s="8"/>
      <c r="F1" s="8"/>
    </row>
    <row r="3" customFormat="false" ht="26.85" hidden="false" customHeight="false" outlineLevel="0" collapsed="false">
      <c r="A3" s="19" t="s">
        <v>232</v>
      </c>
      <c r="B3" s="19" t="s">
        <v>32</v>
      </c>
      <c r="C3" s="19" t="s">
        <v>233</v>
      </c>
      <c r="D3" s="19" t="s">
        <v>234</v>
      </c>
    </row>
    <row r="4" customFormat="false" ht="15" hidden="false" customHeight="false" outlineLevel="0" collapsed="false">
      <c r="A4" s="20" t="s">
        <v>62</v>
      </c>
      <c r="B4" s="23" t="n">
        <f aca="false">COUNTIF('Master Risk Register'!$B$5:$B$16,A4)</f>
        <v>1</v>
      </c>
      <c r="C4" s="23" t="n">
        <f aca="false">ROUND(AVERAGEIF('Master Risk Register'!$B$5:$B$16,A4,'Master Risk Register'!$H$5:$H$16),1)</f>
        <v>20</v>
      </c>
      <c r="D4" s="23" t="n">
        <f aca="false">ROUND(AVERAGEIF('Master Risk Register'!$B$5:$B$16,A4,'Master Risk Register'!$M$5:$M$16),1)</f>
        <v>8</v>
      </c>
    </row>
    <row r="5" customFormat="false" ht="15" hidden="false" customHeight="false" outlineLevel="0" collapsed="false">
      <c r="A5" s="20" t="s">
        <v>70</v>
      </c>
      <c r="B5" s="23" t="n">
        <f aca="false">COUNTIF('Master Risk Register'!$B$5:$B$16,A5)</f>
        <v>3</v>
      </c>
      <c r="C5" s="23" t="n">
        <f aca="false">ROUND(AVERAGEIF('Master Risk Register'!$B$5:$B$16,A5,'Master Risk Register'!$H$5:$H$16),1)</f>
        <v>12.3</v>
      </c>
      <c r="D5" s="23" t="n">
        <f aca="false">ROUND(AVERAGEIF('Master Risk Register'!$B$5:$B$16,A5,'Master Risk Register'!$M$5:$M$16),1)</f>
        <v>4.7</v>
      </c>
    </row>
    <row r="6" customFormat="false" ht="15" hidden="false" customHeight="false" outlineLevel="0" collapsed="false">
      <c r="A6" s="20" t="s">
        <v>78</v>
      </c>
      <c r="B6" s="23" t="n">
        <f aca="false">COUNTIF('Master Risk Register'!$B$5:$B$16,A6)</f>
        <v>2</v>
      </c>
      <c r="C6" s="23" t="n">
        <f aca="false">ROUND(AVERAGEIF('Master Risk Register'!$B$5:$B$16,A6,'Master Risk Register'!$H$5:$H$16),1)</f>
        <v>11.5</v>
      </c>
      <c r="D6" s="23" t="n">
        <f aca="false">ROUND(AVERAGEIF('Master Risk Register'!$B$5:$B$16,A6,'Master Risk Register'!$M$5:$M$16),1)</f>
        <v>4</v>
      </c>
    </row>
    <row r="7" customFormat="false" ht="15" hidden="false" customHeight="false" outlineLevel="0" collapsed="false">
      <c r="A7" s="20" t="s">
        <v>86</v>
      </c>
      <c r="B7" s="23" t="n">
        <f aca="false">COUNTIF('Master Risk Register'!$B$5:$B$16,A7)</f>
        <v>2</v>
      </c>
      <c r="C7" s="23" t="n">
        <f aca="false">ROUND(AVERAGEIF('Master Risk Register'!$B$5:$B$16,A7,'Master Risk Register'!$H$5:$H$16),1)</f>
        <v>14</v>
      </c>
      <c r="D7" s="23" t="n">
        <f aca="false">ROUND(AVERAGEIF('Master Risk Register'!$B$5:$B$16,A7,'Master Risk Register'!$M$5:$M$16),1)</f>
        <v>5</v>
      </c>
    </row>
    <row r="8" customFormat="false" ht="15" hidden="false" customHeight="false" outlineLevel="0" collapsed="false">
      <c r="A8" s="20" t="s">
        <v>93</v>
      </c>
      <c r="B8" s="23" t="n">
        <f aca="false">COUNTIF('Master Risk Register'!$B$5:$B$16,A8)</f>
        <v>2</v>
      </c>
      <c r="C8" s="23" t="n">
        <f aca="false">ROUND(AVERAGEIF('Master Risk Register'!$B$5:$B$16,A8,'Master Risk Register'!$H$5:$H$16),1)</f>
        <v>12</v>
      </c>
      <c r="D8" s="23" t="n">
        <f aca="false">ROUND(AVERAGEIF('Master Risk Register'!$B$5:$B$16,A8,'Master Risk Register'!$M$5:$M$16),1)</f>
        <v>3</v>
      </c>
    </row>
    <row r="9" customFormat="false" ht="15" hidden="false" customHeight="false" outlineLevel="0" collapsed="false">
      <c r="A9" s="20" t="s">
        <v>98</v>
      </c>
      <c r="B9" s="23" t="n">
        <f aca="false">COUNTIF('Master Risk Register'!$B$5:$B$16,A9)</f>
        <v>1</v>
      </c>
      <c r="C9" s="23" t="n">
        <f aca="false">ROUND(AVERAGEIF('Master Risk Register'!$B$5:$B$16,A9,'Master Risk Register'!$H$5:$H$16),1)</f>
        <v>12</v>
      </c>
      <c r="D9" s="23" t="n">
        <f aca="false">ROUND(AVERAGEIF('Master Risk Register'!$B$5:$B$16,A9,'Master Risk Register'!$M$5:$M$16),1)</f>
        <v>4</v>
      </c>
    </row>
    <row r="10" customFormat="false" ht="15" hidden="false" customHeight="false" outlineLevel="0" collapsed="false">
      <c r="A10" s="20" t="s">
        <v>133</v>
      </c>
      <c r="B10" s="23" t="n">
        <f aca="false">COUNTIF('Master Risk Register'!$B$5:$B$16,A10)</f>
        <v>1</v>
      </c>
      <c r="C10" s="23" t="n">
        <f aca="false">ROUND(AVERAGEIF('Master Risk Register'!$B$5:$B$16,A10,'Master Risk Register'!$H$5:$H$16),1)</f>
        <v>12</v>
      </c>
      <c r="D10" s="23" t="n">
        <f aca="false">ROUND(AVERAGEIF('Master Risk Register'!$B$5:$B$16,A10,'Master Risk Register'!$M$5:$M$16),1)</f>
        <v>4</v>
      </c>
    </row>
    <row r="13" customFormat="false" ht="26.85" hidden="false" customHeight="false" outlineLevel="0" collapsed="false">
      <c r="A13" s="19" t="s">
        <v>46</v>
      </c>
      <c r="B13" s="19" t="s">
        <v>32</v>
      </c>
      <c r="C13" s="19" t="s">
        <v>233</v>
      </c>
      <c r="D13" s="19" t="s">
        <v>235</v>
      </c>
    </row>
    <row r="14" customFormat="false" ht="15" hidden="false" customHeight="false" outlineLevel="0" collapsed="false">
      <c r="A14" s="20" t="s">
        <v>7</v>
      </c>
      <c r="B14" s="23" t="n">
        <f aca="false">COUNTIF('Master Risk Register'!$D$5:$D$16,A14)</f>
        <v>1</v>
      </c>
      <c r="C14" s="23" t="n">
        <f aca="false">ROUND(AVERAGEIF('Master Risk Register'!$D$5:$D$16,A14,'Master Risk Register'!$H$5:$H$16),1)</f>
        <v>20</v>
      </c>
      <c r="D14" s="23" t="n">
        <f aca="false">_xlfn.MAXIFS('Master Risk Register'!$H$5:$H$16,'Master Risk Register'!$D$5:$D$16,A14)</f>
        <v>20</v>
      </c>
    </row>
    <row r="15" customFormat="false" ht="15" hidden="false" customHeight="false" outlineLevel="0" collapsed="false">
      <c r="A15" s="20" t="s">
        <v>72</v>
      </c>
      <c r="B15" s="23" t="n">
        <f aca="false">COUNTIF('Master Risk Register'!$D$5:$D$16,A15)</f>
        <v>2</v>
      </c>
      <c r="C15" s="23" t="n">
        <f aca="false">ROUND(AVERAGEIF('Master Risk Register'!$D$5:$D$16,A15,'Master Risk Register'!$H$5:$H$16),1)</f>
        <v>12.5</v>
      </c>
      <c r="D15" s="23" t="n">
        <f aca="false">_xlfn.MAXIFS('Master Risk Register'!$H$5:$H$16,'Master Risk Register'!$D$5:$D$16,A15)</f>
        <v>16</v>
      </c>
    </row>
    <row r="16" customFormat="false" ht="15" hidden="false" customHeight="false" outlineLevel="0" collapsed="false">
      <c r="A16" s="20" t="s">
        <v>80</v>
      </c>
      <c r="B16" s="23" t="n">
        <f aca="false">COUNTIF('Master Risk Register'!$D$5:$D$16,A16)</f>
        <v>3</v>
      </c>
      <c r="C16" s="23" t="n">
        <f aca="false">ROUND(AVERAGEIF('Master Risk Register'!$D$5:$D$16,A16,'Master Risk Register'!$H$5:$H$16),1)</f>
        <v>14.3</v>
      </c>
      <c r="D16" s="23" t="n">
        <f aca="false">_xlfn.MAXIFS('Master Risk Register'!$H$5:$H$16,'Master Risk Register'!$D$5:$D$16,A16)</f>
        <v>16</v>
      </c>
    </row>
    <row r="17" customFormat="false" ht="15" hidden="false" customHeight="false" outlineLevel="0" collapsed="false">
      <c r="A17" s="20" t="s">
        <v>100</v>
      </c>
      <c r="B17" s="23" t="n">
        <f aca="false">COUNTIF('Master Risk Register'!$D$5:$D$16,A17)</f>
        <v>2</v>
      </c>
      <c r="C17" s="23" t="n">
        <f aca="false">ROUND(AVERAGEIF('Master Risk Register'!$D$5:$D$16,A17,'Master Risk Register'!$H$5:$H$16),1)</f>
        <v>12</v>
      </c>
      <c r="D17" s="23" t="n">
        <f aca="false">_xlfn.MAXIFS('Master Risk Register'!$H$5:$H$16,'Master Risk Register'!$D$5:$D$16,A17)</f>
        <v>12</v>
      </c>
    </row>
    <row r="18" customFormat="false" ht="15" hidden="false" customHeight="false" outlineLevel="0" collapsed="false">
      <c r="A18" s="20" t="s">
        <v>107</v>
      </c>
      <c r="B18" s="23" t="n">
        <f aca="false">COUNTIF('Master Risk Register'!$D$5:$D$16,A18)</f>
        <v>1</v>
      </c>
      <c r="C18" s="23" t="n">
        <f aca="false">ROUND(AVERAGEIF('Master Risk Register'!$D$5:$D$16,A18,'Master Risk Register'!$H$5:$H$16),1)</f>
        <v>12</v>
      </c>
      <c r="D18" s="23" t="n">
        <f aca="false">_xlfn.MAXIFS('Master Risk Register'!$H$5:$H$16,'Master Risk Register'!$D$5:$D$16,A18)</f>
        <v>12</v>
      </c>
    </row>
    <row r="19" customFormat="false" ht="15" hidden="false" customHeight="false" outlineLevel="0" collapsed="false">
      <c r="A19" s="20" t="s">
        <v>121</v>
      </c>
      <c r="B19" s="23" t="n">
        <f aca="false">COUNTIF('Master Risk Register'!$D$5:$D$16,A19)</f>
        <v>1</v>
      </c>
      <c r="C19" s="23" t="n">
        <f aca="false">ROUND(AVERAGEIF('Master Risk Register'!$D$5:$D$16,A19,'Master Risk Register'!$H$5:$H$16),1)</f>
        <v>8</v>
      </c>
      <c r="D19" s="23" t="n">
        <f aca="false">_xlfn.MAXIFS('Master Risk Register'!$H$5:$H$16,'Master Risk Register'!$D$5:$D$16,A19)</f>
        <v>8</v>
      </c>
    </row>
    <row r="20" customFormat="false" ht="15" hidden="false" customHeight="false" outlineLevel="0" collapsed="false">
      <c r="A20" s="20" t="s">
        <v>135</v>
      </c>
      <c r="B20" s="23" t="n">
        <f aca="false">COUNTIF('Master Risk Register'!$D$5:$D$16,A20)</f>
        <v>1</v>
      </c>
      <c r="C20" s="23" t="n">
        <f aca="false">ROUND(AVERAGEIF('Master Risk Register'!$D$5:$D$16,A20,'Master Risk Register'!$H$5:$H$16),1)</f>
        <v>12</v>
      </c>
      <c r="D20" s="23" t="n">
        <f aca="false">_xlfn.MAXIFS('Master Risk Register'!$H$5:$H$16,'Master Risk Register'!$D$5:$D$16,A20)</f>
        <v>12</v>
      </c>
    </row>
    <row r="21" customFormat="false" ht="15" hidden="false" customHeight="false" outlineLevel="0" collapsed="false">
      <c r="A21" s="20" t="s">
        <v>142</v>
      </c>
      <c r="B21" s="23" t="n">
        <f aca="false">COUNTIF('Master Risk Register'!$D$5:$D$16,A21)</f>
        <v>1</v>
      </c>
      <c r="C21" s="23" t="n">
        <f aca="false">ROUND(AVERAGEIF('Master Risk Register'!$D$5:$D$16,A21,'Master Risk Register'!$H$5:$H$16),1)</f>
        <v>12</v>
      </c>
      <c r="D21" s="23" t="n">
        <f aca="false">_xlfn.MAXIFS('Master Risk Register'!$H$5:$H$16,'Master Risk Register'!$D$5:$D$16,A21)</f>
        <v>12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5" min="4" style="0" width="4"/>
  </cols>
  <sheetData>
    <row r="1" customFormat="false" ht="25.5" hidden="false" customHeight="true" outlineLevel="0" collapsed="false">
      <c r="A1" s="42" t="s">
        <v>236</v>
      </c>
      <c r="B1" s="42"/>
      <c r="C1" s="42"/>
    </row>
    <row r="3" customFormat="false" ht="16.15" hidden="false" customHeight="false" outlineLevel="0" collapsed="false">
      <c r="A3" s="43" t="s">
        <v>237</v>
      </c>
      <c r="B3" s="43"/>
      <c r="C3" s="43"/>
    </row>
    <row r="4" customFormat="false" ht="43.5" hidden="false" customHeight="true" outlineLevel="0" collapsed="false">
      <c r="A4" s="44" t="s">
        <v>238</v>
      </c>
      <c r="B4" s="44"/>
      <c r="C4" s="44"/>
    </row>
    <row r="5" customFormat="false" ht="15" hidden="false" customHeight="false" outlineLevel="0" collapsed="false">
      <c r="A5" s="44"/>
      <c r="B5" s="44"/>
      <c r="C5" s="44"/>
    </row>
    <row r="7" customFormat="false" ht="16.15" hidden="false" customHeight="false" outlineLevel="0" collapsed="false">
      <c r="A7" s="43" t="s">
        <v>239</v>
      </c>
      <c r="B7" s="43"/>
    </row>
    <row r="8" customFormat="false" ht="26.85" hidden="false" customHeight="false" outlineLevel="0" collapsed="false">
      <c r="A8" s="19" t="s">
        <v>240</v>
      </c>
      <c r="B8" s="19" t="s">
        <v>241</v>
      </c>
    </row>
    <row r="9" customFormat="false" ht="30" hidden="false" customHeight="true" outlineLevel="0" collapsed="false">
      <c r="A9" s="23" t="n">
        <v>1</v>
      </c>
      <c r="B9" s="20" t="s">
        <v>242</v>
      </c>
    </row>
    <row r="10" customFormat="false" ht="30" hidden="false" customHeight="true" outlineLevel="0" collapsed="false">
      <c r="A10" s="23" t="n">
        <v>2</v>
      </c>
      <c r="B10" s="20" t="s">
        <v>243</v>
      </c>
    </row>
    <row r="11" customFormat="false" ht="30" hidden="false" customHeight="true" outlineLevel="0" collapsed="false">
      <c r="A11" s="23" t="n">
        <v>3</v>
      </c>
      <c r="B11" s="20" t="s">
        <v>244</v>
      </c>
    </row>
    <row r="12" customFormat="false" ht="30" hidden="false" customHeight="true" outlineLevel="0" collapsed="false">
      <c r="A12" s="23" t="n">
        <v>4</v>
      </c>
      <c r="B12" s="20" t="s">
        <v>245</v>
      </c>
    </row>
    <row r="13" customFormat="false" ht="30" hidden="false" customHeight="true" outlineLevel="0" collapsed="false">
      <c r="A13" s="23" t="n">
        <v>5</v>
      </c>
      <c r="B13" s="20" t="s">
        <v>246</v>
      </c>
    </row>
    <row r="16" customFormat="false" ht="16.15" hidden="false" customHeight="false" outlineLevel="0" collapsed="false">
      <c r="A16" s="43" t="s">
        <v>247</v>
      </c>
      <c r="B16" s="43"/>
    </row>
    <row r="17" customFormat="false" ht="26.85" hidden="false" customHeight="false" outlineLevel="0" collapsed="false">
      <c r="A17" s="19" t="s">
        <v>240</v>
      </c>
      <c r="B17" s="19" t="s">
        <v>241</v>
      </c>
    </row>
    <row r="18" customFormat="false" ht="30" hidden="false" customHeight="true" outlineLevel="0" collapsed="false">
      <c r="A18" s="23" t="n">
        <v>1</v>
      </c>
      <c r="B18" s="20" t="s">
        <v>248</v>
      </c>
    </row>
    <row r="19" customFormat="false" ht="30" hidden="false" customHeight="true" outlineLevel="0" collapsed="false">
      <c r="A19" s="23" t="n">
        <v>2</v>
      </c>
      <c r="B19" s="20" t="s">
        <v>249</v>
      </c>
    </row>
    <row r="20" customFormat="false" ht="30" hidden="false" customHeight="true" outlineLevel="0" collapsed="false">
      <c r="A20" s="23" t="n">
        <v>3</v>
      </c>
      <c r="B20" s="20" t="s">
        <v>250</v>
      </c>
    </row>
    <row r="21" customFormat="false" ht="30" hidden="false" customHeight="true" outlineLevel="0" collapsed="false">
      <c r="A21" s="23" t="n">
        <v>4</v>
      </c>
      <c r="B21" s="20" t="s">
        <v>251</v>
      </c>
    </row>
    <row r="22" customFormat="false" ht="30" hidden="false" customHeight="true" outlineLevel="0" collapsed="false">
      <c r="A22" s="23" t="n">
        <v>5</v>
      </c>
      <c r="B22" s="20" t="s">
        <v>252</v>
      </c>
    </row>
    <row r="25" customFormat="false" ht="16.15" hidden="false" customHeight="false" outlineLevel="0" collapsed="false">
      <c r="A25" s="43" t="s">
        <v>253</v>
      </c>
      <c r="B25" s="43"/>
    </row>
    <row r="26" customFormat="false" ht="64.9" hidden="false" customHeight="false" outlineLevel="0" collapsed="false">
      <c r="A26" s="19" t="s">
        <v>254</v>
      </c>
      <c r="B26" s="19" t="s">
        <v>255</v>
      </c>
    </row>
    <row r="27" customFormat="false" ht="25.5" hidden="false" customHeight="true" outlineLevel="0" collapsed="false">
      <c r="A27" s="45" t="s">
        <v>256</v>
      </c>
      <c r="B27" s="20" t="s">
        <v>257</v>
      </c>
    </row>
    <row r="28" customFormat="false" ht="25.5" hidden="false" customHeight="true" outlineLevel="0" collapsed="false">
      <c r="A28" s="46" t="s">
        <v>258</v>
      </c>
      <c r="B28" s="20" t="s">
        <v>259</v>
      </c>
    </row>
    <row r="29" customFormat="false" ht="25.5" hidden="false" customHeight="true" outlineLevel="0" collapsed="false">
      <c r="A29" s="47" t="s">
        <v>260</v>
      </c>
      <c r="B29" s="20" t="s">
        <v>261</v>
      </c>
    </row>
    <row r="30" customFormat="false" ht="25.5" hidden="false" customHeight="true" outlineLevel="0" collapsed="false">
      <c r="A30" s="48" t="s">
        <v>262</v>
      </c>
      <c r="B30" s="20" t="s">
        <v>263</v>
      </c>
    </row>
    <row r="33" customFormat="false" ht="16.15" hidden="false" customHeight="false" outlineLevel="0" collapsed="false">
      <c r="A33" s="43" t="s">
        <v>264</v>
      </c>
      <c r="B33" s="43"/>
    </row>
    <row r="34" customFormat="false" ht="15" hidden="false" customHeight="true" outlineLevel="0" collapsed="false">
      <c r="A34" s="44" t="s">
        <v>265</v>
      </c>
      <c r="B34" s="44"/>
    </row>
    <row r="35" customFormat="false" ht="15" hidden="false" customHeight="false" outlineLevel="0" collapsed="false">
      <c r="A35" s="44"/>
      <c r="B35" s="44"/>
    </row>
    <row r="36" customFormat="false" ht="15" hidden="false" customHeight="false" outlineLevel="0" collapsed="false">
      <c r="A36" s="44"/>
      <c r="B36" s="44"/>
    </row>
    <row r="38" customFormat="false" ht="16.15" hidden="false" customHeight="false" outlineLevel="0" collapsed="false">
      <c r="A38" s="43" t="s">
        <v>266</v>
      </c>
      <c r="B38" s="43"/>
      <c r="C38" s="43"/>
    </row>
    <row r="39" customFormat="false" ht="39.55" hidden="false" customHeight="false" outlineLevel="0" collapsed="false">
      <c r="A39" s="19" t="s">
        <v>10</v>
      </c>
      <c r="B39" s="19" t="s">
        <v>267</v>
      </c>
      <c r="C39" s="19" t="s">
        <v>268</v>
      </c>
    </row>
    <row r="40" customFormat="false" ht="42" hidden="false" customHeight="true" outlineLevel="0" collapsed="false">
      <c r="A40" s="21" t="s">
        <v>11</v>
      </c>
      <c r="B40" s="21" t="s">
        <v>13</v>
      </c>
      <c r="C40" s="20" t="s">
        <v>269</v>
      </c>
    </row>
  </sheetData>
  <mergeCells count="9">
    <mergeCell ref="A1:C1"/>
    <mergeCell ref="A3:C3"/>
    <mergeCell ref="A4:C5"/>
    <mergeCell ref="A7:B7"/>
    <mergeCell ref="A16:B16"/>
    <mergeCell ref="A25:B25"/>
    <mergeCell ref="A33:B33"/>
    <mergeCell ref="A34:B36"/>
    <mergeCell ref="A38:C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2026-07-30T10:51:16Z</dcterms:created>
  <dc:creator>openpyxl</dc:creator>
  <dc:description/>
  <dc:language>en-US</dc:language>
  <cp:lastModifiedBy/>
  <dcterms:modified xsi:type="dcterms:W3CDTF">2026-07-30T10:51:23Z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