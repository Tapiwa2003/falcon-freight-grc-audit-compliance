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for Use" sheetId="1" state="visible" r:id="rId3"/>
    <sheet name="Summary of Responses" sheetId="2" state="visible" r:id="rId4"/>
    <sheet name="ISO27k Gap Analysis Questions" sheetId="3" state="visible" r:id="rId5"/>
    <sheet name="Clarification" sheetId="4" state="visible" r:id="rId6"/>
  </sheets>
  <definedNames>
    <definedName function="false" hidden="false" name="Boolean" vbProcedure="false">#REF!</definedName>
    <definedName function="false" hidden="false" name="category" vbProcedure="false">#REF!</definedName>
    <definedName function="false" hidden="false" name="Controls" vbProcedure="false">#REF!</definedName>
    <definedName function="false" hidden="false" name="CORE_SF" vbProcedure="false">#REF!</definedName>
    <definedName function="false" hidden="false" name="DataRows1" vbProcedure="false">#REF!</definedName>
    <definedName function="false" hidden="false" name="DataRows2" vbProcedure="false">#REF!</definedName>
    <definedName function="false" hidden="false" name="External" vbProcedure="false">#REF!</definedName>
    <definedName function="false" hidden="false" name="Hyperlinks" vbProcedure="false">#REF!</definedName>
    <definedName function="false" hidden="false" name="HyperLinksFW" vbProcedure="false">#REF!</definedName>
    <definedName function="false" hidden="false" name="IncludeLine" vbProcedure="false">#REF!</definedName>
    <definedName function="false" hidden="false" name="InherentRiskRating" vbProcedure="false">#REF!</definedName>
    <definedName function="false" hidden="false" name="Linked_cellFW" vbProcedure="false">#REF!</definedName>
    <definedName function="false" hidden="false" name="Lookup" vbProcedure="false">#REF!</definedName>
    <definedName function="false" hidden="false" name="lu" vbProcedure="false">#REF!</definedName>
    <definedName function="false" hidden="false" name="Organisational" vbProcedure="false">#REF!</definedName>
    <definedName function="false" hidden="false" name="Org_link" vbProcedure="false">#REF!</definedName>
    <definedName function="false" hidden="false" name="PartColumn" vbProcedure="false">#REF!</definedName>
    <definedName function="false" hidden="false" name="Participants" vbProcedure="false">#REF!</definedName>
    <definedName function="false" hidden="false" name="People" vbProcedure="false">#REF!</definedName>
    <definedName function="false" hidden="false" name="People_link" vbProcedure="false">#REF!</definedName>
    <definedName function="false" hidden="false" name="Physical" vbProcedure="false">#REF!</definedName>
    <definedName function="false" hidden="false" name="Phys_link" vbProcedure="false">#REF!</definedName>
    <definedName function="false" hidden="false" name="Pimary_Cause_Category" vbProcedure="false">#REF!</definedName>
    <definedName function="false" hidden="false" name="Primary_cause_category" vbProcedure="false">#REF!</definedName>
    <definedName function="false" hidden="false" name="Process" vbProcedure="false">#REF!</definedName>
    <definedName function="false" hidden="false" name="RangeA" vbProcedure="false">#REF!</definedName>
    <definedName function="false" hidden="false" name="response_frames" vbProcedure="false">#REF!</definedName>
    <definedName function="false" hidden="false" name="response_frames_alt" vbProcedure="false">#REF!</definedName>
    <definedName function="false" hidden="false" name="Results" vbProcedure="false">#REF!</definedName>
    <definedName function="false" hidden="false" name="Select" vbProcedure="false">#REF!</definedName>
    <definedName function="false" hidden="false" name="Sep" vbProcedure="false">#REF!</definedName>
    <definedName function="false" hidden="false" name="Severity" vbProcedure="false">#REF!</definedName>
    <definedName function="false" hidden="false" name="show" vbProcedure="false">#REF!</definedName>
    <definedName function="false" hidden="false" name="System" vbProcedure="false">#REF!</definedName>
    <definedName function="false" hidden="false" name="Technological" vbProcedure="false">#REF!</definedName>
    <definedName function="false" hidden="false" name="Tech_link" vbProcedure="false">#REF!</definedName>
    <definedName function="false" hidden="false" name="test" vbProcedure="false">#REF!</definedName>
    <definedName function="false" hidden="false" name="ToSort" vbProcedure="false">#REF!</definedName>
    <definedName function="false" hidden="false" name="traitement" vbProcedure="false">#REF!</definedName>
    <definedName function="false" hidden="false" name="Vulnerabilities" vbProcedure="false">#REF!</definedName>
    <definedName function="false" hidden="false" localSheetId="0" name="category" vbProcedure="false">#REF!</definedName>
    <definedName function="false" hidden="false" localSheetId="0" name="CORE_SF" vbProcedure="false">#REF!</definedName>
    <definedName function="false" hidden="false" localSheetId="0" name="DataRows1" vbProcedure="false">#REF!</definedName>
    <definedName function="false" hidden="false" localSheetId="0" name="DataRows2" vbProcedure="false">#REF!</definedName>
    <definedName function="false" hidden="false" localSheetId="0" name="Hyperlinks" vbProcedure="false">#REF!</definedName>
    <definedName function="false" hidden="false" localSheetId="0" name="HyperLinksFW" vbProcedure="false">#REF!</definedName>
    <definedName function="false" hidden="false" localSheetId="0" name="Organisational" vbProcedure="false">#REF!</definedName>
    <definedName function="false" hidden="false" localSheetId="0" name="PartColumn" vbProcedure="false">#REF!</definedName>
    <definedName function="false" hidden="false" localSheetId="0" name="Select" vbProcedure="false">#REF!</definedName>
    <definedName function="false" hidden="false" localSheetId="0" name="Sep" vbProcedure="false">#REF!</definedName>
    <definedName function="false" hidden="false" localSheetId="0" name="Severity" vbProcedure="false">#REF!</definedName>
    <definedName function="false" hidden="false" localSheetId="0" name="Technological" vbProcedure="false">#REF!</definedName>
    <definedName function="false" hidden="false" localSheetId="0" name="test" vbProcedure="false">#REF!</definedName>
    <definedName function="false" hidden="false" localSheetId="1" name="category" vbProcedure="false">#REF!</definedName>
    <definedName function="false" hidden="false" localSheetId="1" name="CORE_SF" vbProcedure="false">#REF!</definedName>
    <definedName function="false" hidden="false" localSheetId="1" name="DataRows1" vbProcedure="false">#REF!</definedName>
    <definedName function="false" hidden="false" localSheetId="1" name="DataRows2" vbProcedure="false">#REF!</definedName>
    <definedName function="false" hidden="false" localSheetId="1" name="Hyperlinks" vbProcedure="false">#REF!</definedName>
    <definedName function="false" hidden="false" localSheetId="1" name="HyperLinksFW" vbProcedure="false">#REF!</definedName>
    <definedName function="false" hidden="false" localSheetId="1" name="Organisational" vbProcedure="false">#REF!</definedName>
    <definedName function="false" hidden="false" localSheetId="1" name="PartColumn" vbProcedure="false">#REF!</definedName>
    <definedName function="false" hidden="false" localSheetId="1" name="Select" vbProcedure="false">#REF!</definedName>
    <definedName function="false" hidden="false" localSheetId="1" name="Sep" vbProcedure="false">#REF!</definedName>
    <definedName function="false" hidden="false" localSheetId="1" name="Severity" vbProcedure="false">#REF!</definedName>
    <definedName function="false" hidden="false" localSheetId="1" name="Technological" vbProcedure="false">#REF!</definedName>
    <definedName function="false" hidden="false" localSheetId="1" name="test"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<sst xmlns="http://schemas.openxmlformats.org/spreadsheetml/2006/main" count="1011" uniqueCount="465">
  <si>
    <t xml:space="preserve">ISO/IEC 27001:2022 Gap analysis questionnaire - Instructions for use - Falcon Freight Solutions</t>
  </si>
  <si>
    <t xml:space="preserve">This questionnaire provides a structured framework for systematically evaluating an organization's information security management practices against ISO/IEC 27001:2022. While it can be used for self-assessment, it is primarily designed to support a gap analysis facilitated by an experienced ISO27k consultant or auditor offering guidance, clarification and a more objective assessment.
The questionnaire has two parts:
Part 1 - ISO/IEC 27001:2022 Clauses (28 questions) - covers the ISO/IEC 27001:2022 main body clauses 4 to 10. Conformity with the requirements in these clauses is mandatory for all certified organizations.
Part 2 - ISO/IEC 27001:2022 Annex A information security controls (133 questions) - covers the ISO/IEC 27001:2022 Annex A controls. Conformity with the requirements in the Annex is discretionary: it is only required if the organization determines that the controls are applicable, meaming that they are required to mitigate the associated information risks.
Understanding the questions
To better understand the requirements behind each question:
Part 1 - ISO/IEC 27001:2022 Clauses - Please study ISO/IEC 27001:2022 Clauses 4 to 10.
Part 2 - ISO/IEC 27001:2022 Annex A Controls - Please study the 'Guidance' paragraphs for each control in ISO/IEC 27002:2022. ISO/IEC 27002 provides about a page of explanation for each control, expanding on the control names given in ISO/IEC 27001 Annex A.
Answering questions
When answering, please use the dropdown box to select your response. In the 'Policy' or 'other document(s)' cells, please provide details of any documentation supporting your response, along with the details of the document owner. Any supporting comments would also be helpful.
If you reply 'No' or 'Not Applicable' to any question, please explain why, within the context of your organization, the requirement or control is not required and not implemented.
Clarification
If you need clarification on any questions, please select 'Clarification required' from the dropdown box and ask for clarification next to the blue highlighted question number in the Clarification worksheet. (Rows in the Clarification worksheet are highlighted automatically when you select 'Clarification required' in the ISO27k Gap Analysis Questions worksheet).
Summary of Responses
The 'Summary of Responses' tab provides a breakdown of your responses to the gap analysis questionnaire.
Gap analysis report
Once all responses and evidence have been reviewed and any clarification questions have been answered and accepted, a consolidated gap analysis report will be provided. This report will highlight any identified gaps. It will also make recommendations for improvement as part of the ISO/IEC 27001:2022 certification process. Further details about are provided in the body of the Gap Analysis report.
[This gap analysis questionnaire was generously donated to the ISO27k Toolkit by Marty Carter.]</t>
  </si>
  <si>
    <t xml:space="preserve">This work is copyright © 2024, Marty Carter and ISO27k Forum, some rights reserved. It is licensed under the Creative Commons Attribution-Noncommercial-Sharealike 4.0 International License. You are welcome to reproduce, circulate, use and create derivative works from this provided that (a) it is not sold or incorporated into a commercial product, (b) it is properly attributed to the ISO27k Forum (www.ISO27001security.com), and (c) if shared, derivative works are shared under the same terms as this.</t>
  </si>
  <si>
    <t xml:space="preserve">ISO/IEC 27001:2022 Gap analysis questionnaire - Summary of responses - Falcon Freight Solutions</t>
  </si>
  <si>
    <t xml:space="preserve">This table summarises the responses across the two parts of the gap analysis, and is provided as a guide only.</t>
  </si>
  <si>
    <t xml:space="preserve">Yes</t>
  </si>
  <si>
    <t xml:space="preserve">No</t>
  </si>
  <si>
    <t xml:space="preserve">Not Applicable</t>
  </si>
  <si>
    <t xml:space="preserve">Refer to comments</t>
  </si>
  <si>
    <t xml:space="preserve">Clarification required</t>
  </si>
  <si>
    <t xml:space="preserve">ISO/IEC 27001:2022 Clauses (28 questions)</t>
  </si>
  <si>
    <t xml:space="preserve">ISO/IEC 27001:2022 Annex A Controls (133 questions)</t>
  </si>
  <si>
    <t xml:space="preserve">Domain 5 - Organizational Controls (66 questions)</t>
  </si>
  <si>
    <t xml:space="preserve">Domain 6 - People Controls (15 questions)</t>
  </si>
  <si>
    <t xml:space="preserve">Domain 7 - Physical Controls (14 questions)</t>
  </si>
  <si>
    <t xml:space="preserve">Domain 8 - Technological Controls (38 questions)</t>
  </si>
  <si>
    <t xml:space="preserve">Total number of clarification questions asked</t>
  </si>
  <si>
    <t xml:space="preserve">This box below serves as a simple check for how many questions require clarification from the table above against how many questions were actually asked in the Clarification worksheet. The two totals should match.</t>
  </si>
  <si>
    <t xml:space="preserve">ISO/IEC 27001:2022 Annex A security controls (133 questions)</t>
  </si>
  <si>
    <t xml:space="preserve">The cells above contain formulae and should not be deleted.</t>
  </si>
  <si>
    <t xml:space="preserve">ISO/IEC 27001:2022 Information Security Management System (ISMS)
GAP ANALYSIS QUESTIONNAIRE
Falcon Freight Solutions</t>
  </si>
  <si>
    <t xml:space="preserve">ISO/IEC 27001:2022 Clauses gap analysis questionnaire</t>
  </si>
  <si>
    <t xml:space="preserve">ISO/IEC 27001:2022 Annex A security controls gap analysis questionnaire</t>
  </si>
  <si>
    <t xml:space="preserve">Ref</t>
  </si>
  <si>
    <t xml:space="preserve">Question</t>
  </si>
  <si>
    <t xml:space="preserve">Response</t>
  </si>
  <si>
    <t xml:space="preserve">Policy</t>
  </si>
  <si>
    <t xml:space="preserve">Other document</t>
  </si>
  <si>
    <t xml:space="preserve">Document reference</t>
  </si>
  <si>
    <t xml:space="preserve">Comments</t>
  </si>
  <si>
    <t xml:space="preserve">These columns can be hidden</t>
  </si>
  <si>
    <t xml:space="preserve">Clause 4 - Context of the Organization</t>
  </si>
  <si>
    <t xml:space="preserve">Select your response from the dropdown box.</t>
  </si>
  <si>
    <t xml:space="preserve">Enter the details of the Policy related to this requirement (if applicable)</t>
  </si>
  <si>
    <t xml:space="preserve">Enter the details of the any other document related to this requirement (if applicable)</t>
  </si>
  <si>
    <t xml:space="preserve">Enter the document(s) reference details or a link to the document</t>
  </si>
  <si>
    <t xml:space="preserve">Add comments or enter a customised response here.</t>
  </si>
  <si>
    <t xml:space="preserve">NA</t>
  </si>
  <si>
    <t xml:space="preserve">4.1a</t>
  </si>
  <si>
    <t xml:space="preserve">Has the organization determined external and internal issues that are relevant to and affect the ISMS' ability to achieve its intended outcomes?</t>
  </si>
  <si>
    <t xml:space="preserve">External/internal issues (regional regulatory landscape, competitor and vendor dependencies) are discussed informally at leadership meetings but not formally documented as ISMS context.</t>
  </si>
  <si>
    <t xml:space="preserve">4.2a</t>
  </si>
  <si>
    <t xml:space="preserve">Has the organization identified interested parties relevant to the ISMS, their relevant requirements and which of these will be addressed by the ISMS?</t>
  </si>
  <si>
    <t xml:space="preserve">Interested parties (customers, customs authorities, freight partners, regulators) are not formally identified or mapped against ISMS requirements.</t>
  </si>
  <si>
    <t xml:space="preserve">4.3a</t>
  </si>
  <si>
    <t xml:space="preserve">Has the organization determined the scope of its ISMS?</t>
  </si>
  <si>
    <t xml:space="preserve">No ISMS scope has been defined; Falcon Freight has not yet formalized which sites, systems or business units would be in scope.</t>
  </si>
  <si>
    <t xml:space="preserve">4.4a</t>
  </si>
  <si>
    <t xml:space="preserve">Has the organization established, implemented, maintained, and continually improves an ISMS in accordance with the requirements of ISO/IEC 27001:2022?</t>
  </si>
  <si>
    <t xml:space="preserve">No ISMS has been established; information security is currently managed on an ad hoc basis by the IT team.</t>
  </si>
  <si>
    <t xml:space="preserve">Clause 5 - Leadership</t>
  </si>
  <si>
    <t xml:space="preserve">5.1a</t>
  </si>
  <si>
    <t xml:space="preserve">Are the objectives of the ISMS compatible with the organization's strategic direction and mission?</t>
  </si>
  <si>
    <t xml:space="preserve">Management supports growth and client trust generally, but no documented ISMS objectives exist to compare against strategic direction.</t>
  </si>
  <si>
    <t xml:space="preserve">5.2a</t>
  </si>
  <si>
    <t xml:space="preserve">Is an Information Security Policy available and appropriate to the purpose and context of the organization and does it support the strategic direction of the company?</t>
  </si>
  <si>
    <t xml:space="preserve">No formal Information Security Policy exists; IT operates from informal practices rather than an approved policy document.</t>
  </si>
  <si>
    <t xml:space="preserve">5.3a</t>
  </si>
  <si>
    <t xml:space="preserve">Has the organization's top management established (and are they supportive of,) a mechanism for communicating responsibilities and authorities for roles relevant to information security within the organization?</t>
  </si>
  <si>
    <t xml:space="preserve">Responsibilities are communicated verbally by the IT Manager and Operations leads across regional offices, but no formal RACI or communication mechanism is documented.</t>
  </si>
  <si>
    <t xml:space="preserve">Clause 6 - Planning</t>
  </si>
  <si>
    <t xml:space="preserve">6.1a</t>
  </si>
  <si>
    <t xml:space="preserve">Has organization defined and applied an information security risk assessment process?</t>
  </si>
  <si>
    <t xml:space="preserve">No formal information security risk assessment methodology has been defined or applied across the organization.</t>
  </si>
  <si>
    <t xml:space="preserve">6.1b</t>
  </si>
  <si>
    <t xml:space="preserve">Does the organization have a documented risk treatment process?</t>
  </si>
  <si>
    <t xml:space="preserve">No documented risk treatment process exists; risks are addressed reactively when incidents occur.</t>
  </si>
  <si>
    <t xml:space="preserve">6.1c</t>
  </si>
  <si>
    <t xml:space="preserve">Has the organization produced a Statement of Applicability (SoA)?</t>
  </si>
  <si>
    <t xml:space="preserve">No Statement of Applicability has been produced.</t>
  </si>
  <si>
    <t xml:space="preserve">6.2a</t>
  </si>
  <si>
    <t xml:space="preserve">Has the organization established information security objectives at applicable functions and levels within the business and are they consistent with the Information Security Policy?</t>
  </si>
  <si>
    <t xml:space="preserve">No information security objectives have been set at a functional or departmental level.</t>
  </si>
  <si>
    <t xml:space="preserve">6.3a</t>
  </si>
  <si>
    <t xml:space="preserve">When the organization determines the need for changes to the information security management system, are the changes carried out in a planned manner?</t>
  </si>
  <si>
    <t xml:space="preserve">Changes to IT systems (e.g. the shipment tracking platform) go through basic IT change control, but this is not linked to a formal ISMS change process.</t>
  </si>
  <si>
    <t xml:space="preserve">Clause 7 - Support</t>
  </si>
  <si>
    <t xml:space="preserve">7.1a</t>
  </si>
  <si>
    <t xml:space="preserve">Has the organization determined and does it provide the resources needed for the establishment, implementation, maintenance, and continual improvement of the ISMS?</t>
  </si>
  <si>
    <t xml:space="preserve">The IT department is resourced for day-to-day operations, but no dedicated budget or resourcing has been allocated for ISMS establishment.</t>
  </si>
  <si>
    <t xml:space="preserve">7.2a</t>
  </si>
  <si>
    <t xml:space="preserve">Has the organization determined the necessary competence of person(s) doing work under its control that affects its information security performance?</t>
  </si>
  <si>
    <t xml:space="preserve">Competence requirements for information-security-relevant roles have not been formally defined.</t>
  </si>
  <si>
    <t xml:space="preserve">7.3a</t>
  </si>
  <si>
    <t xml:space="preserve">Are the organizations employees made aware of the Information Security Policy?</t>
  </si>
  <si>
    <t xml:space="preserve">Employees are not made aware of an Information Security Policy, as none currently exists.</t>
  </si>
  <si>
    <t xml:space="preserve">7.4a</t>
  </si>
  <si>
    <t xml:space="preserve">Has the organization determined the need for internal and external communications relevant to the ISMS?</t>
  </si>
  <si>
    <t xml:space="preserve">Internal/external communications happen through normal business channels (email, regional office calls) but have not been assessed against ISMS communication needs.</t>
  </si>
  <si>
    <t xml:space="preserve">7.5a</t>
  </si>
  <si>
    <t xml:space="preserve">Does the organization's ISMS include documented information as required by ISO/IEC 27001:2022?</t>
  </si>
  <si>
    <t xml:space="preserve">No ISMS documented information (policies, procedures, records) is currently maintained.</t>
  </si>
  <si>
    <t xml:space="preserve">7.5b</t>
  </si>
  <si>
    <t xml:space="preserve">Is documented information required by the ISMS and ISO/IEC 27001:2022 controlled?</t>
  </si>
  <si>
    <t xml:space="preserve">No document control process exists for information-security-related documentation.</t>
  </si>
  <si>
    <t xml:space="preserve">Clause 8 - Operation</t>
  </si>
  <si>
    <t xml:space="preserve">8.1a</t>
  </si>
  <si>
    <t xml:space="preserve">Has the organization planned, implemented and does it control the processes needed to meet requirements, and to implement the actions determined in Clause 6 (Planning)?</t>
  </si>
  <si>
    <t xml:space="preserve">No formal operational planning tied to Clause 6 risk treatment exists, since risk treatment itself is not yet formalized.</t>
  </si>
  <si>
    <t xml:space="preserve">8.2a</t>
  </si>
  <si>
    <t xml:space="preserve">Does the organization perform information security risk assessments at planned intervals or when significant changes are proposed or occur?</t>
  </si>
  <si>
    <t xml:space="preserve">Risk assessments are not performed at planned intervals; reviews only occur reactively after an incident or client audit request.</t>
  </si>
  <si>
    <t xml:space="preserve">8.3a</t>
  </si>
  <si>
    <t xml:space="preserve">Has the organization implemented an information security risk treatment plan?</t>
  </si>
  <si>
    <t xml:space="preserve">No risk treatment plan has been implemented.</t>
  </si>
  <si>
    <t xml:space="preserve">Clause 9 - Performance evaluation</t>
  </si>
  <si>
    <t xml:space="preserve">9.1a</t>
  </si>
  <si>
    <t xml:space="preserve">Has the organization determined what needs to monitored and measured, including information security processes and controls?</t>
  </si>
  <si>
    <t xml:space="preserve">Monitoring is currently limited to basic IT system uptime/performance; no information security monitoring and measurement plan exists.</t>
  </si>
  <si>
    <t xml:space="preserve">9.2a</t>
  </si>
  <si>
    <t xml:space="preserve">Does the organization conduct internal audits of their ISMS at planned intervals?</t>
  </si>
  <si>
    <t xml:space="preserve">No internal ISMS audit programme exists.</t>
  </si>
  <si>
    <t xml:space="preserve">9.2b</t>
  </si>
  <si>
    <t xml:space="preserve">Has the organization planned, established, implemented and does it maintain an audit programme(s), including the frequency, methods, responsibilities, planning requirements and reporting?</t>
  </si>
  <si>
    <t xml:space="preserve">No audit programme has been established.</t>
  </si>
  <si>
    <t xml:space="preserve">9.3a</t>
  </si>
  <si>
    <t xml:space="preserve">Does the organizations top management review the organization's ISMS at planned intervals to ensure its continuing suitability, adequacy and effectiveness?</t>
  </si>
  <si>
    <t xml:space="preserve">Top management does not currently perform structured ISMS management reviews.</t>
  </si>
  <si>
    <t xml:space="preserve">9.3b</t>
  </si>
  <si>
    <t xml:space="preserve">Do the results of management reviews include decisions related to continual improvement opportunities and any needs for changes to the ISMS?</t>
  </si>
  <si>
    <t xml:space="preserve">As no management review process exists, there are no formal continual improvement decisions being tracked.</t>
  </si>
  <si>
    <t xml:space="preserve">Clause 10 - Improvement</t>
  </si>
  <si>
    <t xml:space="preserve">10.1a</t>
  </si>
  <si>
    <t xml:space="preserve">Does the organization continually improve the suitability, adequacy, and effectiveness of their ISMS?</t>
  </si>
  <si>
    <t xml:space="preserve">There is no structured continual improvement process for information security; improvements happen informally when gaps are noticed.</t>
  </si>
  <si>
    <t xml:space="preserve">10.2a</t>
  </si>
  <si>
    <t xml:space="preserve">When a nonconformity occurs, does the organization react to the nonconformity, and as applicable take action to control and correct it?</t>
  </si>
  <si>
    <t xml:space="preserve">Operational nonconformities (e.g. shipment/data handling errors) are corrected on a case-by-case basis but not through a documented ISMS nonconformity process.</t>
  </si>
  <si>
    <t xml:space="preserve">5 - ORGANIZATIONAL CONTROLS</t>
  </si>
  <si>
    <t xml:space="preserve">Has an Information Security policy and topic-specific policies been defined, approved by management and published?</t>
  </si>
  <si>
    <t xml:space="preserve">No Information Security policy or topic-specific policies have been defined or published.</t>
  </si>
  <si>
    <t xml:space="preserve">5.1b</t>
  </si>
  <si>
    <t xml:space="preserve">Has the Information Security policy and topic-specific policies been communicated to and acknowledged by relevant personnel and relevant interested parties?</t>
  </si>
  <si>
    <t xml:space="preserve">As no policy exists, none has been communicated to personnel.</t>
  </si>
  <si>
    <t xml:space="preserve">5.1c</t>
  </si>
  <si>
    <t xml:space="preserve">Are the Information Security policy and topic-specific policies reviewed at planned intervals and if significant changes occur?</t>
  </si>
  <si>
    <t xml:space="preserve">No policy review cycle is in place.</t>
  </si>
  <si>
    <t xml:space="preserve">Have Information Security roles and responsibilities been defined and allocated according to organizational needs?</t>
  </si>
  <si>
    <t xml:space="preserve">The IT Manager is informally recognized as responsible for security matters, but roles and responsibilities have not been formally defined and allocated.</t>
  </si>
  <si>
    <t xml:space="preserve">Are conflicting duties and conflicting areas of responsibility segregated?</t>
  </si>
  <si>
    <t xml:space="preserve">Segregation of duties is partially achieved by the small size of the IT team, but no formal segregation-of-duties analysis has been performed.</t>
  </si>
  <si>
    <t xml:space="preserve">Does management ensure that all personnel to apply Information Security in accordance with the established Information Security policy, topic-specific policies and procedures of the organization?</t>
  </si>
  <si>
    <t xml:space="preserve">There is no established policy for personnel to apply, so compliance cannot be enforced.</t>
  </si>
  <si>
    <t xml:space="preserve">Does the organization maintain contact with relevant authorities?</t>
  </si>
  <si>
    <t xml:space="preserve">The compliance team maintains contact with customs authorities and transport regulators across Southern and East Africa as part of normal freight operations.</t>
  </si>
  <si>
    <t xml:space="preserve">Does the organization maintain contact with special interest groups or other specialist security forums and professional associations?</t>
  </si>
  <si>
    <t xml:space="preserve">The organization does not currently participate in security-focused forums, ISACs or professional security associations.</t>
  </si>
  <si>
    <t xml:space="preserve">5.7a</t>
  </si>
  <si>
    <t xml:space="preserve">Is information relating to information security threats collected and analysed to produce threat intelligence?</t>
  </si>
  <si>
    <t xml:space="preserve">No threat intelligence collection or analysis capability exists.</t>
  </si>
  <si>
    <t xml:space="preserve">5.7b</t>
  </si>
  <si>
    <t xml:space="preserve">Does the organization categorize threats at the strategic, tactical and operational levels?</t>
  </si>
  <si>
    <t xml:space="preserve">Threats are not categorized at strategic, tactical or operational levels.</t>
  </si>
  <si>
    <t xml:space="preserve">5.7c</t>
  </si>
  <si>
    <t xml:space="preserve">Does the organization share threat intelligence with other organizations on a mutual basis in order to improve overall threat intelligence?</t>
  </si>
  <si>
    <t xml:space="preserve">No threat intelligence sharing arrangements exist with other organizations.</t>
  </si>
  <si>
    <t xml:space="preserve">5.8a</t>
  </si>
  <si>
    <t xml:space="preserve">Does the organization integrate information security into project management?</t>
  </si>
  <si>
    <t xml:space="preserve">Information security is not currently integrated into the project management methodology used for regional expansion and system rollout projects.</t>
  </si>
  <si>
    <t xml:space="preserve">5.8b</t>
  </si>
  <si>
    <t xml:space="preserve">Are information security risks  assessed and treated at an early stage and periodically as part of project risks throughout the project life cycle?</t>
  </si>
  <si>
    <t xml:space="preserve">Information security risks are not assessed as part of project risk management.</t>
  </si>
  <si>
    <t xml:space="preserve">5.8c</t>
  </si>
  <si>
    <t xml:space="preserve">Are information security requirements determined for all types of projects?</t>
  </si>
  <si>
    <t xml:space="preserve">Information security requirements are not routinely determined for new projects (e.g. new warehouse or regional office rollouts).</t>
  </si>
  <si>
    <t xml:space="preserve">5.9a</t>
  </si>
  <si>
    <t xml:space="preserve">Has an inventory of information and other associated assets, including owners, been developed and maintained?</t>
  </si>
  <si>
    <t xml:space="preserve">IT maintains an informal spreadsheet of hardware and key systems, but this does not constitute a maintained, owner-assigned asset inventory.</t>
  </si>
  <si>
    <t xml:space="preserve">5.9b</t>
  </si>
  <si>
    <t xml:space="preserve">Is the inventory of information and other associated assets accurate, up to date, consistent and aligned with other inventories?</t>
  </si>
  <si>
    <t xml:space="preserve">The existing asset list is not regularly reconciled or kept up to date.</t>
  </si>
  <si>
    <t xml:space="preserve">5.9c</t>
  </si>
  <si>
    <t xml:space="preserve">Is the location of assets included in the inventory?</t>
  </si>
  <si>
    <t xml:space="preserve">Physical asset locations (warehouses, regional offices) are generally known but not systematically recorded in an inventory.</t>
  </si>
  <si>
    <t xml:space="preserve">5.9d</t>
  </si>
  <si>
    <t xml:space="preserve">Are assets classified in accordance with the organizations classification scheme?</t>
  </si>
  <si>
    <t xml:space="preserve">No information classification scheme currently exists to classify assets against.</t>
  </si>
  <si>
    <t xml:space="preserve">5.9e</t>
  </si>
  <si>
    <t xml:space="preserve">Is ownership of assets assigned when the assets are created or when assets are transferred?</t>
  </si>
  <si>
    <t xml:space="preserve">New equipment is generally assigned to a department or site informally, without a formal ownership assignment process.</t>
  </si>
  <si>
    <t xml:space="preserve">5.9f</t>
  </si>
  <si>
    <t xml:space="preserve">Is asset ownership reassigned when asset owners leave or change job roles?</t>
  </si>
  <si>
    <t xml:space="preserve">Asset ownership is not formally reassigned when staff change roles or leave.</t>
  </si>
  <si>
    <t xml:space="preserve">5.10a</t>
  </si>
  <si>
    <t xml:space="preserve">Have rules for the acceptable use and procedures for handling information and other associated assets been identified, documented and implemented?</t>
  </si>
  <si>
    <t xml:space="preserve">No documented acceptable use rules exist for information and associated assets, including the shipment tracking platform and WMS.</t>
  </si>
  <si>
    <t xml:space="preserve">5.10b</t>
  </si>
  <si>
    <t xml:space="preserve">Has the organization established a topic-specific policy on the acceptable use of information and other associated assets and communicated it to anyone who uses or handles information and other associated assets?</t>
  </si>
  <si>
    <t xml:space="preserve">No topic-specific acceptable use policy has been established or communicated.</t>
  </si>
  <si>
    <t xml:space="preserve">5.10c</t>
  </si>
  <si>
    <t xml:space="preserve">Has the organization developed and implemented acceptable use procedures?</t>
  </si>
  <si>
    <t xml:space="preserve">No acceptable use procedures have been developed.</t>
  </si>
  <si>
    <t xml:space="preserve">5.11a</t>
  </si>
  <si>
    <t xml:space="preserve">Do personnel and other interested parties return all the organization’s assets in their possession upon change or termination of their employment, contract or agreement?</t>
  </si>
  <si>
    <t xml:space="preserve">Physical assets such as laptops and access cards are generally recovered on termination via HR/IT offboarding checklist, but this is not documented as a formal control.</t>
  </si>
  <si>
    <t xml:space="preserve">5.11b</t>
  </si>
  <si>
    <t xml:space="preserve">Does the organization clearly identify and document all the information and other assocaited assets that should be returned?</t>
  </si>
  <si>
    <t xml:space="preserve">Assets requiring return are not formally documented.</t>
  </si>
  <si>
    <t xml:space="preserve">5.12a</t>
  </si>
  <si>
    <t xml:space="preserve">Is information classified according to the information security needs of the organization based on confidentiality, integrity, availability and relevant interested party requirements?</t>
  </si>
  <si>
    <t xml:space="preserve">Information is not currently classified according to a formal confidentiality/integrity/availability scheme.</t>
  </si>
  <si>
    <t xml:space="preserve">5.12b</t>
  </si>
  <si>
    <t xml:space="preserve">Has the organization established a topic-specific policy on information classification and communicated it to all relevant interested parties?</t>
  </si>
  <si>
    <t xml:space="preserve">No topic-specific information classification policy exists.</t>
  </si>
  <si>
    <t xml:space="preserve">5.12c</t>
  </si>
  <si>
    <t xml:space="preserve">Does the organizations information classification scheme take into account requirements for confidentiality, integrity and availability?</t>
  </si>
  <si>
    <t xml:space="preserve">N/A - no classification scheme exists.</t>
  </si>
  <si>
    <t xml:space="preserve">5.12d</t>
  </si>
  <si>
    <t xml:space="preserve">Is the classification scheeme consistent across the whole organization?</t>
  </si>
  <si>
    <t xml:space="preserve">5.13a</t>
  </si>
  <si>
    <t xml:space="preserve">Has the organization developed and implemented an appropriate set of procedures for information labelling in accordance with the information classification scheme?</t>
  </si>
  <si>
    <t xml:space="preserve">No information labelling procedures have been implemented.</t>
  </si>
  <si>
    <t xml:space="preserve">5.13b</t>
  </si>
  <si>
    <t xml:space="preserve">Are personnel and other interested parties made aware of labelling procedures?</t>
  </si>
  <si>
    <t xml:space="preserve">No labelling procedures exist for personnel to be made aware of.</t>
  </si>
  <si>
    <t xml:space="preserve">5.14a</t>
  </si>
  <si>
    <t xml:space="preserve">Are information transfer rules, procedures, or agreements in place for all types of transfer facilities within the organization and between the organization and other parties?</t>
  </si>
  <si>
    <t xml:space="preserve">Shipment and customer data is transferred between regional offices, the cloud tracking platform and customs brokers via standard business processes, but no formal information transfer rules or agreements are documented.</t>
  </si>
  <si>
    <t xml:space="preserve">5.14b</t>
  </si>
  <si>
    <t xml:space="preserve">Has the organization established and communicated a topic-specific policy on information transfer to all relevant interested parties?</t>
  </si>
  <si>
    <t xml:space="preserve">No topic-specific information transfer policy exists.</t>
  </si>
  <si>
    <t xml:space="preserve">5.15a</t>
  </si>
  <si>
    <t xml:space="preserve">Have rules to control physical and logical access to information and other associated assets been established and implemented based on business and information security requirements?</t>
  </si>
  <si>
    <t xml:space="preserve">Basic physical access control exists at warehouses (access cards/guards) and logical access is controlled via user accounts on the WMS and tracking platform, but this is not governed by a documented access control policy.</t>
  </si>
  <si>
    <t xml:space="preserve">5.15b</t>
  </si>
  <si>
    <t xml:space="preserve">Has the organization established and implemented a topic specific policy for access control?</t>
  </si>
  <si>
    <t xml:space="preserve">No topic-specific access control policy has been established.</t>
  </si>
  <si>
    <t xml:space="preserve">Does the organization manage the full life cycle of identities?</t>
  </si>
  <si>
    <t xml:space="preserve">User accounts are created and disabled by IT on request, but there is no formal identity lifecycle management process covering joiners, movers and leavers across regional offices.</t>
  </si>
  <si>
    <t xml:space="preserve">5.17a</t>
  </si>
  <si>
    <t xml:space="preserve">Is the allocation and management of authentication information controlled by a management process?</t>
  </si>
  <si>
    <t xml:space="preserve">No formal process governs the allocation and management of authentication information (passwords, tokens).</t>
  </si>
  <si>
    <t xml:space="preserve">5.17b</t>
  </si>
  <si>
    <t xml:space="preserve">Does the allocation and management of authentication information include advising personnel on the appropriate handling of authentication information?</t>
  </si>
  <si>
    <t xml:space="preserve">Personnel are not formally advised on handling of authentication information beyond informal IT guidance.</t>
  </si>
  <si>
    <t xml:space="preserve">5.17c</t>
  </si>
  <si>
    <t xml:space="preserve">Are personnel who have access to or use authentication advised on their responsibilities?</t>
  </si>
  <si>
    <t xml:space="preserve">No formal communication of authentication responsibilities to personnel exists.</t>
  </si>
  <si>
    <t xml:space="preserve">5.17d</t>
  </si>
  <si>
    <t xml:space="preserve">Does the organization have a password management system in place?</t>
  </si>
  <si>
    <t xml:space="preserve">The cloud shipment tracking platform enforces basic password rules, but there is no organization-wide password management policy covering the on-premise WMS and other systems.</t>
  </si>
  <si>
    <t xml:space="preserve">5.18a</t>
  </si>
  <si>
    <t xml:space="preserve">Are access rights to information and other associated assets provisioned, reviewed, modified and removed in accordance with the organization’s topic-specific policy on and rules for access control?</t>
  </si>
  <si>
    <t xml:space="preserve">Access rights are not reviewed, modified or removed against a documented access control policy - access changes are handled informally by IT on request.</t>
  </si>
  <si>
    <t xml:space="preserve">5.18b</t>
  </si>
  <si>
    <t xml:space="preserve">Does the organization have a process for the review of access rights?</t>
  </si>
  <si>
    <t xml:space="preserve">No periodic access rights review process exists.</t>
  </si>
  <si>
    <t xml:space="preserve">Have processes and procedures been defined and implemented to manage the information security risks associated with the use of supplier’s products or services?</t>
  </si>
  <si>
    <t xml:space="preserve">No formal process exists to manage information security risk from supplier products or services; vendor onboarding does not currently include a security risk assessment.</t>
  </si>
  <si>
    <t xml:space="preserve">Have the relevant information security requirements been established and agreed with each supplier based on the type of supplier relationship?</t>
  </si>
  <si>
    <t xml:space="preserve">Information security requirements are not consistently agreed with customs brokers, delivery contractors and other suppliers.</t>
  </si>
  <si>
    <t xml:space="preserve">Have processes and procedures been defined and implemented to manage the information security risks associated with the ICT products and services supply chain?</t>
  </si>
  <si>
    <t xml:space="preserve">No process exists to manage ICT supply chain security risk, including the vendors supporting the cloud tracking platform.</t>
  </si>
  <si>
    <t xml:space="preserve">Does the organization regularly monitor, review, evaluate and manage change in supplier information security practices and service delivery?</t>
  </si>
  <si>
    <t xml:space="preserve">Supplier security practices and service delivery are not regularly monitored or reviewed.</t>
  </si>
  <si>
    <t xml:space="preserve">5.23a</t>
  </si>
  <si>
    <t xml:space="preserve">Have processes for acquisition, use, management and exit from cloud services been established in accordance with the organization’s information security requirements?</t>
  </si>
  <si>
    <t xml:space="preserve">The cloud shipment tracking platform was selected based on functional and cost criteria; a formal process for acquisition, use, management and exit from cloud services has not been established.</t>
  </si>
  <si>
    <t xml:space="preserve">5.23b</t>
  </si>
  <si>
    <t xml:space="preserve">Has the organization established and communicated topic-specific policy on the use of cloud services to all relevant interested parties?</t>
  </si>
  <si>
    <t xml:space="preserve">No topic-specific cloud services policy exists.</t>
  </si>
  <si>
    <t xml:space="preserve">5.24a</t>
  </si>
  <si>
    <t xml:space="preserve">Has the organization established appropriate information security incident management processes?</t>
  </si>
  <si>
    <t xml:space="preserve">No formal information security incident management process has been established; IT responds to issues informally as they arise.</t>
  </si>
  <si>
    <t xml:space="preserve">5.24b</t>
  </si>
  <si>
    <t xml:space="preserve">Has the organization defined roles and responsibilities for the information security incident management process?</t>
  </si>
  <si>
    <t xml:space="preserve">No roles and responsibilities have been defined for incident management.</t>
  </si>
  <si>
    <t xml:space="preserve">Does the organization have a categorization and prioritization scheme of information security incidents?</t>
  </si>
  <si>
    <t xml:space="preserve">No categorization or prioritization scheme for security incidents exists.</t>
  </si>
  <si>
    <t xml:space="preserve">Are information security incidents responded to in accordance with documented procedures?</t>
  </si>
  <si>
    <t xml:space="preserve">There are no documented incident response procedures to follow.</t>
  </si>
  <si>
    <t xml:space="preserve">Has the organization established procedures to quantify and monitor the types, volumes and costs of information security incidents?</t>
  </si>
  <si>
    <t xml:space="preserve">The organization does not currently track the type, volume or cost of information security incidents.</t>
  </si>
  <si>
    <t xml:space="preserve">Has the organization established and implemented procedures for the identification, collection, acquisition and preservation of evidence related to information security events?</t>
  </si>
  <si>
    <t xml:space="preserve">No forensic evidence collection and preservation procedures exist.</t>
  </si>
  <si>
    <t xml:space="preserve">Does the organization determine its requirements for adapting information security controls during disruption?</t>
  </si>
  <si>
    <t xml:space="preserve">Requirements for adapting security controls during disruption (e.g. regional office outages) have not been determined.</t>
  </si>
  <si>
    <t xml:space="preserve">5.30a</t>
  </si>
  <si>
    <t xml:space="preserve">Has ICT readiness been planned, implemented, maintained and tested based on business continuity objectives and ICT continuity requirements?</t>
  </si>
  <si>
    <t xml:space="preserve">ICT readiness for business continuity has not been planned, implemented or tested.</t>
  </si>
  <si>
    <t xml:space="preserve">5.30b</t>
  </si>
  <si>
    <t xml:space="preserve">Has the organization conducted a Business Impact Analysis (BIA)  to determine ICT continuity requirements?</t>
  </si>
  <si>
    <t xml:space="preserve">No Business Impact Analysis has been conducted.</t>
  </si>
  <si>
    <t xml:space="preserve">Have legal, statutory, regulatory and contractual requirements relevant to information security been identified, documented and are they kept up to date?</t>
  </si>
  <si>
    <t xml:space="preserve">Legal and regulatory requirements relevant to freight, customs and cross-border trade are tracked by the compliance/legal function, but information-security-specific legal and contractual requirements (e.g. GDPR for EU-linked shipments) have not been separately catalogued.</t>
  </si>
  <si>
    <t xml:space="preserve">Has the organization implemented appropriate procedures to protect intellectual property rights?</t>
  </si>
  <si>
    <t xml:space="preserve">No specific procedures exist to protect intellectual property rights beyond standard contractual clauses.</t>
  </si>
  <si>
    <t xml:space="preserve">5.33a</t>
  </si>
  <si>
    <t xml:space="preserve">Does the organization protect records from loss, destruction, falsification, unauthorized access and unauthorized release?</t>
  </si>
  <si>
    <t xml:space="preserve">Shipment and customer records are stored in the cloud tracking platform and on-premise WMS with basic system access controls, but no formal records-protection procedures exist.</t>
  </si>
  <si>
    <t xml:space="preserve">5.33b</t>
  </si>
  <si>
    <t xml:space="preserve">Does the organization use data storage systems that allow records to be retrieved in an acceptable time frame and format?</t>
  </si>
  <si>
    <t xml:space="preserve">Both the cloud tracking platform and WMS allow records to be retrieved within an acceptable timeframe to support day-to-day freight operations.</t>
  </si>
  <si>
    <t xml:space="preserve">5.34a</t>
  </si>
  <si>
    <t xml:space="preserve">Has the organization identified and met the requirements regarding the preservation of privacy and protection of PII according to applicable laws and regulations and contractual requirements?</t>
  </si>
  <si>
    <t xml:space="preserve">PII protection requirements (including GDPR for shipments touching EU customers) have not been formally identified and mapped to controls.</t>
  </si>
  <si>
    <t xml:space="preserve">5.34b</t>
  </si>
  <si>
    <t xml:space="preserve">Has the organization established and communicated a topic-specific policy on privacy and protection of PII to all relevant interested parties?</t>
  </si>
  <si>
    <t xml:space="preserve">No topic-specific privacy/PII policy has been established or communicated.</t>
  </si>
  <si>
    <t xml:space="preserve">Does the organization have processes in place to conduct independent reviews?</t>
  </si>
  <si>
    <t xml:space="preserve">No independent review process for information security exists.</t>
  </si>
  <si>
    <t xml:space="preserve">Does the organization have a process for how to review that information security requirements defined in the information security policy, topic-specific policies, rules, standards and other applicable regulations are met?</t>
  </si>
  <si>
    <t xml:space="preserve">No process exists to review conformance with security requirements, as no policy suite currently exists to review against.</t>
  </si>
  <si>
    <t xml:space="preserve">Are operating procedures for information processing facilities documented and made available to personnel who need them?</t>
  </si>
  <si>
    <t xml:space="preserve">Operating procedures for information processing facilities (WMS, tracking platform, servers) are not formally documented.</t>
  </si>
  <si>
    <t xml:space="preserve">6 - PEOPLE CONTROLS</t>
  </si>
  <si>
    <t xml:space="preserve">Are background verification checks carried out prior personnel to joining the organization?</t>
  </si>
  <si>
    <t xml:space="preserve">Standard pre-employment background and reference checks are carried out by HR for new hires, including warehouse and driver personnel.</t>
  </si>
  <si>
    <t xml:space="preserve">Are background verification checks carried out on an ongoing basis to take into consideration applicable laws, regulations and ethics?</t>
  </si>
  <si>
    <t xml:space="preserve">Background checks are only performed at hiring; there is no ongoing re-verification process.</t>
  </si>
  <si>
    <t xml:space="preserve">Are background verification checks proportional to the business requirements, the classification of the information to be accessed and the perceived risks?</t>
  </si>
  <si>
    <t xml:space="preserve">Background checks are applied fairly consistently but are not formally scaled to the classification of information a role can access, since no classification scheme exists.</t>
  </si>
  <si>
    <t xml:space="preserve">Do employment contracts state the personnel's and organization's responsibilities for information security?</t>
  </si>
  <si>
    <t xml:space="preserve">Standard employment contracts include general confidentiality clauses, but do not yet include specific information security responsibilities.</t>
  </si>
  <si>
    <t xml:space="preserve">Do personnel and relevant interested parties receive appropriate information security awareness, education and training?</t>
  </si>
  <si>
    <t xml:space="preserve">No formal information security awareness, education or training programme has been rolled out to personnel.</t>
  </si>
  <si>
    <t xml:space="preserve">6.3b</t>
  </si>
  <si>
    <t xml:space="preserve">Do personnel and relevant interested parties receive regular updates of the organization's information security policy, topic-specific policies and procedures, as relevant for their job function?</t>
  </si>
  <si>
    <t xml:space="preserve">There is no policy to distribute updates on, as no formal Information Security Policy currently exists.</t>
  </si>
  <si>
    <t xml:space="preserve">6.4a</t>
  </si>
  <si>
    <t xml:space="preserve">Does the organization have a formalized disciplinary policy?</t>
  </si>
  <si>
    <t xml:space="preserve">A general HR disciplinary policy covering misconduct, including data handling breaches, is in place.</t>
  </si>
  <si>
    <t xml:space="preserve">6.4b</t>
  </si>
  <si>
    <t xml:space="preserve">Does the organization take action against personnel and other relevant interested parties who have committed an information security policy violation?</t>
  </si>
  <si>
    <t xml:space="preserve">HR takes disciplinary action against staff who breach company policies, including data handling incidents, under the existing disciplinary policy.</t>
  </si>
  <si>
    <t xml:space="preserve">Are information security responsibilities and duties that remain valid after termination or change of employment defined, enforced and communicated to relevant personnel and other interested parties?</t>
  </si>
  <si>
    <t xml:space="preserve">Post-termination information security responsibilities are not formally defined or communicated beyond standard offboarding steps.</t>
  </si>
  <si>
    <t xml:space="preserve">6.6a</t>
  </si>
  <si>
    <t xml:space="preserve">Have confidentiality or non-disclosure agreements reflecting the organization’s needs for the protection of information been identified and documented?</t>
  </si>
  <si>
    <t xml:space="preserve">Standard confidentiality/NDA clauses are included in employment contracts and key supplier/vendor agreements.</t>
  </si>
  <si>
    <t xml:space="preserve">6.6b</t>
  </si>
  <si>
    <t xml:space="preserve">Are confidentiality or non-disclosure agreements regularly reviewed?</t>
  </si>
  <si>
    <t xml:space="preserve">Confidentiality and NDA agreements are not periodically reviewed or updated.</t>
  </si>
  <si>
    <t xml:space="preserve">6.6c</t>
  </si>
  <si>
    <t xml:space="preserve">Are confidentiality or non-disclosure agreements signed by personnel and other relevant interested parties?</t>
  </si>
  <si>
    <t xml:space="preserve">Confidentiality and NDA agreements are signed by employees at onboarding and by key suppliers as part of contracting.</t>
  </si>
  <si>
    <t xml:space="preserve">6.7a</t>
  </si>
  <si>
    <t xml:space="preserve">Have security measures been implemented for personnel who work remotely?</t>
  </si>
  <si>
    <t xml:space="preserve">Some regional/head-office staff work remotely using company laptops and VPN access to the cloud platform, but no formal remote working security policy exists.</t>
  </si>
  <si>
    <t xml:space="preserve">6.7b</t>
  </si>
  <si>
    <t xml:space="preserve">Do remote working security measures adequately protect information accessed, processed or stored outside the organization’s premises?</t>
  </si>
  <si>
    <t xml:space="preserve">No specific security measures (e.g. endpoint protection standards, secure Wi-Fi requirements) have been mandated for remote workers.</t>
  </si>
  <si>
    <t xml:space="preserve">Has the organization established a mechanism for reporting observed or suspected information security events through appropriate channels in a timely manner?</t>
  </si>
  <si>
    <t xml:space="preserve">Staff can report suspected issues to the IT Manager directly, but there is no formal, organization-wide reporting mechanism or channel.</t>
  </si>
  <si>
    <t xml:space="preserve">7 - PHYSICAL CONTROLS</t>
  </si>
  <si>
    <t xml:space="preserve">Are security perimeters defined and used to protect areas that contain information and other associated assets?</t>
  </si>
  <si>
    <t xml:space="preserve">Warehouses and offices have defined security perimeters (fencing, gated access) appropriate to freight/logistics operations.</t>
  </si>
  <si>
    <t xml:space="preserve">Are secure areas protected by appropriate entry controls and access points?</t>
  </si>
  <si>
    <t xml:space="preserve">Warehouses use access cards and security personnel to control entry; head office uses key-card access.</t>
  </si>
  <si>
    <t xml:space="preserve">Are physical security for offices, rooms and facilities designed and implemented?</t>
  </si>
  <si>
    <t xml:space="preserve">Physical security measures (CCTV, guarding, access control) are designed into warehouse and office facilities, consistent with logistics industry practice.</t>
  </si>
  <si>
    <t xml:space="preserve">Are premises continuously monitored for unauthorized physical access?</t>
  </si>
  <si>
    <t xml:space="preserve">CCTV monitoring is in place at warehouses, but coverage and monitoring consistency across all regional sites has not been formally reviewed.</t>
  </si>
  <si>
    <t xml:space="preserve">Are protection against physical and environmental threats, such as natural disasters and other intentional or unintentional physical threats to infrastructure designed and implemented?</t>
  </si>
  <si>
    <t xml:space="preserve">Warehouses have fire suppression and basic environmental controls given the value of goods stored; server rooms have UPS and basic environmental monitoring.</t>
  </si>
  <si>
    <t xml:space="preserve">Are security measures for working in secure areas designed and implemented?</t>
  </si>
  <si>
    <t xml:space="preserve">Basic rules exist for working in warehouse secure zones, but they are not formally documented as an information-security control.</t>
  </si>
  <si>
    <t xml:space="preserve">Are clear desk rules for papers and removable storage media and clear screen rules for information processing facilities defined and appropriately enforced?</t>
  </si>
  <si>
    <t xml:space="preserve">No formal clear desk / clear screen policy has been implemented across offices.</t>
  </si>
  <si>
    <t xml:space="preserve">Are equipment sited securely and protected?</t>
  </si>
  <si>
    <t xml:space="preserve">IT and warehouse equipment (servers, scanners, handheld devices) are sited in secured, access-controlled areas.</t>
  </si>
  <si>
    <t xml:space="preserve">Are off-site assets protected?</t>
  </si>
  <si>
    <t xml:space="preserve">Laptops and mobile scanning devices used off-site by drivers and field staff are tracked informally but not covered by a formal off-site asset protection policy.</t>
  </si>
  <si>
    <t xml:space="preserve">Is storage media managed through their life cycle of acquisition, use, transportation and disposal in accordance with the organization’s classification scheme and handling requirements.?</t>
  </si>
  <si>
    <t xml:space="preserve">Storage media (backup drives, decommissioned hardware) is handled by IT on an ad hoc basis rather than through a documented lifecycle management procedure.</t>
  </si>
  <si>
    <t xml:space="preserve">Are information processing facilities protected from power failures and other disruptions caused by failures in supporting utilities?</t>
  </si>
  <si>
    <t xml:space="preserve">Server rooms and warehouse facilities are protected by UPS and backup power arrangements given the operational need for continuous shipment tracking.</t>
  </si>
  <si>
    <t xml:space="preserve">Are cables carrying power, data or supporting information services protected from interception, interference or damage?</t>
  </si>
  <si>
    <t xml:space="preserve">Cabling protection against interception, interference or damage has not been formally assessed.</t>
  </si>
  <si>
    <t xml:space="preserve">Is equipment maintained correctly to ensure availability, integrity and confidentiality of information?</t>
  </si>
  <si>
    <t xml:space="preserve">IT equipment is maintained under standard vendor maintenance contracts to ensure availability.</t>
  </si>
  <si>
    <t xml:space="preserve">Are items of equipment containing storage media verified to ensure that any sensitive data and licensed software has been removed or securely overwritten prior to disposal or re-use?</t>
  </si>
  <si>
    <t xml:space="preserve">No formal data-wipe/verification procedure exists prior to disposal or reuse of storage media.</t>
  </si>
  <si>
    <t xml:space="preserve">8 - TECHNOLOGICAL CONTROLS</t>
  </si>
  <si>
    <t xml:space="preserve">Is information stored on, processed by or accessible via user end point devices protected?</t>
  </si>
  <si>
    <t xml:space="preserve">Company laptops have standard antivirus and disk encryption is used on some devices, but endpoint protection is not consistently enforced across all end-user devices, including field devices used by drivers.</t>
  </si>
  <si>
    <t xml:space="preserve">Are the allocation and use of privileged access rights restricted and managed?</t>
  </si>
  <si>
    <t xml:space="preserve">Privileged/administrator access rights are not formally restricted or reviewed; several IT staff share broad administrative access to the WMS and servers.</t>
  </si>
  <si>
    <t xml:space="preserve">Is access to information and other associated assets restricted in accordance with the established topic-specific policy on access control?</t>
  </si>
  <si>
    <t xml:space="preserve">Access to the WMS and tracking platform is restricted by user accounts and basic role settings, but not governed by a documented access control policy.</t>
  </si>
  <si>
    <t xml:space="preserve">Is read and write access to source code, development tools and software libraries appropriately managed?</t>
  </si>
  <si>
    <t xml:space="preserve">Falcon Freight does not develop proprietary software in-house; systems are largely commercial off-the-shelf/cloud platforms, so source code access management is not applicable.</t>
  </si>
  <si>
    <t xml:space="preserve">Has the organization implemented secure authentication technologies and procedures based on information access restrictions and the topic-specific policy on access control?</t>
  </si>
  <si>
    <t xml:space="preserve">The cloud tracking platform supports username/password and basic MFA options, but MFA is not consistently enforced organization-wide.</t>
  </si>
  <si>
    <t xml:space="preserve">Are the use of resources monitored and adjusted in line with current and expected capacity requirements?</t>
  </si>
  <si>
    <t xml:space="preserve">Resource capacity (server storage, network bandwidth) is monitored informally rather than through a documented capacity management process.</t>
  </si>
  <si>
    <t xml:space="preserve">8.7a</t>
  </si>
  <si>
    <t xml:space="preserve">Has the organization implemented protection against malware?</t>
  </si>
  <si>
    <t xml:space="preserve">Commercial endpoint antivirus/anti-malware software is deployed on company workstations and servers.</t>
  </si>
  <si>
    <t xml:space="preserve">8.7b</t>
  </si>
  <si>
    <t xml:space="preserve">Is the organizations approach to malware protection supported by appropriate user awareness?</t>
  </si>
  <si>
    <t xml:space="preserve">Malware protection is not currently supported by structured user awareness activities.</t>
  </si>
  <si>
    <t xml:space="preserve">8.8a</t>
  </si>
  <si>
    <t xml:space="preserve">Is information about technical vulnerabilities of information systems in use obtained?</t>
  </si>
  <si>
    <t xml:space="preserve">There is no formal process to obtain information on technical vulnerabilities affecting the WMS, tracking platform or supporting infrastructure.</t>
  </si>
  <si>
    <t xml:space="preserve">8.8b</t>
  </si>
  <si>
    <t xml:space="preserve">Does the organization evalute their exposure to technical vulnerabilities and take the appropriate measures?</t>
  </si>
  <si>
    <t xml:space="preserve">No vulnerability assessment or exposure evaluation process is in place.</t>
  </si>
  <si>
    <t xml:space="preserve">8.9a</t>
  </si>
  <si>
    <t xml:space="preserve">Have configurations, including security configurations, of hardware, software, services and networks been established, documented and implemented?</t>
  </si>
  <si>
    <t xml:space="preserve">Secure baseline configurations for hardware, software, services and networks have not been documented.</t>
  </si>
  <si>
    <t xml:space="preserve">8.9b</t>
  </si>
  <si>
    <t xml:space="preserve">Are configurations, including security configurations, of hardware, software, services and networks monitored and reviewed?</t>
  </si>
  <si>
    <t xml:space="preserve">Configurations are not systematically monitored or reviewed against a baseline.</t>
  </si>
  <si>
    <t xml:space="preserve">Is information stored in information systems, devices or in any other storage media deleted when no longer required?</t>
  </si>
  <si>
    <t xml:space="preserve">No formal data retention/deletion schedule exists for the WMS, tracking platform or other storage systems.</t>
  </si>
  <si>
    <t xml:space="preserve">Is data masking used in accordance with the organization’s topic-specific policy on access control and other related topic-specific policies, and business requirements, taking applicable legislation into consideration?</t>
  </si>
  <si>
    <t xml:space="preserve">Data masking is not currently used; this will need to be assessed once the information classification and PII protection controls are established.</t>
  </si>
  <si>
    <t xml:space="preserve">Are data leakage prevention measures applied to systems, networks and any other devices that process, store or transmit sensitive information?</t>
  </si>
  <si>
    <t xml:space="preserve">No data leakage prevention (DLP) tooling or measures are currently deployed.</t>
  </si>
  <si>
    <t xml:space="preserve">Are backup copies of information, software and systems maintained and regularly tested in accordance with the agreed topic-specific policy on backup?</t>
  </si>
  <si>
    <t xml:space="preserve">Regular backups of the WMS and tracking platform data are taken and periodically test-restored by the IT team, given the operational criticality of shipment data.</t>
  </si>
  <si>
    <t xml:space="preserve">Are information processing facilities implemented with redundancy sufficient to meet availability requirements?</t>
  </si>
  <si>
    <t xml:space="preserve">Some redundancy exists for critical servers, but formal redundancy requirements have not been defined against business availability needs.</t>
  </si>
  <si>
    <t xml:space="preserve">Are logs that record activities, exceptions, faults and other relevant events produced, stored, protected and analysed?</t>
  </si>
  <si>
    <t xml:space="preserve">System and application logs are generated by default but are not centrally collected, protected or analysed.</t>
  </si>
  <si>
    <t xml:space="preserve">8.16a</t>
  </si>
  <si>
    <t xml:space="preserve">Does the organization monitor networks, systems and applications for anomalous behaviour evaluate potential information security incidents?</t>
  </si>
  <si>
    <t xml:space="preserve">No monitoring capability exists to detect anomalous network, system or application behaviour.</t>
  </si>
  <si>
    <t xml:space="preserve">8.16b</t>
  </si>
  <si>
    <t xml:space="preserve">Does the organization take the appropriate actions when information security incidents are identified?</t>
  </si>
  <si>
    <t xml:space="preserve">As there is no monitoring/detection capability, there is no defined process for acting on identified incidents.</t>
  </si>
  <si>
    <t xml:space="preserve">Are the clocks of information processing systems used by the organization synchronized to approved time sources?</t>
  </si>
  <si>
    <t xml:space="preserve">Servers generally use default OS time synchronization, but this has not been verified against an approved, organization-wide time source standard.</t>
  </si>
  <si>
    <t xml:space="preserve">Are the use of utility programs that can be capable of overriding system and application controls restricted and tightly controlled?</t>
  </si>
  <si>
    <t xml:space="preserve">Use of utility/administrative programs is not formally restricted beyond standard user permissions.</t>
  </si>
  <si>
    <t xml:space="preserve">Has the organization implemented procedures and measures to securely manage software installation on operational systems?</t>
  </si>
  <si>
    <t xml:space="preserve">No formal software installation management procedure exists for operational systems.</t>
  </si>
  <si>
    <t xml:space="preserve">Are networks and network devices secured, managed and controlled to protect information in systems and applications?</t>
  </si>
  <si>
    <t xml:space="preserve">Basic firewalling exists between office networks and the internet, but network segmentation between warehouse, office and cloud environments is limited.</t>
  </si>
  <si>
    <t xml:space="preserve">Are security mechanisms, service levels and service requirements of network services identified, implemented and monitored?</t>
  </si>
  <si>
    <t xml:space="preserve">Network service security mechanisms and service levels are not formally identified, implemented or monitored.</t>
  </si>
  <si>
    <t xml:space="preserve">Does the organization segregate groups of information services, users and information systems in the organization’s networks?</t>
  </si>
  <si>
    <t xml:space="preserve">Networks are not segregated by service, user group or system criticality.</t>
  </si>
  <si>
    <t xml:space="preserve">Is access to external websites managed to reduce exposure to malicious content?</t>
  </si>
  <si>
    <t xml:space="preserve">A standard web content/URL filtering solution is used on the corporate network, but coverage across all regional offices has not been confirmed.</t>
  </si>
  <si>
    <t xml:space="preserve">Are rules for the effective use of cryptography, including cryptographic key management, defined and implemented?</t>
  </si>
  <si>
    <t xml:space="preserve">No organization-wide cryptography or key management standard has been defined; encryption use is inconsistent across systems.</t>
  </si>
  <si>
    <t xml:space="preserve">Has the organization established and applied rules for the secure development of software and systems?</t>
  </si>
  <si>
    <t xml:space="preserve">Falcon Freight does not develop software in-house, so secure development rules are not currently applicable; this should be revisited if in-house development begins.</t>
  </si>
  <si>
    <t xml:space="preserve">Are information security requirements identified, specified and approved when developing or acquiring applications?</t>
  </si>
  <si>
    <t xml:space="preserve">Not applicable - systems are acquired as commercial/cloud products rather than developed in-house.</t>
  </si>
  <si>
    <t xml:space="preserve">Are principles for engineering secure systems established, documented, maintained and applied to any information system development activities?</t>
  </si>
  <si>
    <t xml:space="preserve">Not applicable - no in-house system development activity currently takes place.</t>
  </si>
  <si>
    <t xml:space="preserve">Does the organization apply secure coding principles to software development?</t>
  </si>
  <si>
    <t xml:space="preserve">Not applicable - no in-house software development currently takes place.</t>
  </si>
  <si>
    <t xml:space="preserve">Are security testing processes defined and implemented in the development life cycle?</t>
  </si>
  <si>
    <t xml:space="preserve">Not applicable - no in-house development lifecycle exists to apply security testing to.</t>
  </si>
  <si>
    <t xml:space="preserve">Does the organization direct, monitor and review the activities related to outsourced system development?</t>
  </si>
  <si>
    <t xml:space="preserve">The cloud tracking platform vendor is monitored informally through the commercial relationship, but there is no formal process to direct, monitor and review outsourced development/vendor activity from a security perspective.</t>
  </si>
  <si>
    <t xml:space="preserve">Are development, testing and production environments separated and secured?</t>
  </si>
  <si>
    <t xml:space="preserve">Not applicable - Falcon Freight does not maintain separate development/test/production environments for in-house systems.</t>
  </si>
  <si>
    <t xml:space="preserve">Are changes to information processing facilities and information systems subject to change management procedures?</t>
  </si>
  <si>
    <t xml:space="preserve">IT changes are tracked informally via a shared change log, but there is no documented change management procedure.</t>
  </si>
  <si>
    <t xml:space="preserve">Is test information appropriately selected, protected and managed?</t>
  </si>
  <si>
    <t xml:space="preserve">Not applicable - no dedicated test datasets are currently used, given the lack of in-house development.</t>
  </si>
  <si>
    <t xml:space="preserve">Are audit tests and other assurance activities involving assessment of operational systems planned and agreed between the tester and appropriate management?</t>
  </si>
  <si>
    <t xml:space="preserve">Audit and assurance activities on operational systems are not currently planned or formally agreed with management.</t>
  </si>
  <si>
    <t xml:space="preserve">ISO/IEC 27001:2022 Information Security Management System (ISMS)
GAP ANALYSIS QUESTIONNAIRE - Clarification required
Falcon Freight Solutions</t>
  </si>
  <si>
    <t xml:space="preserve">Clarification question</t>
  </si>
  <si>
    <t xml:space="preserve">ISO/IEC 27001:2022 Clauses Gap Analysis Questionnaire - Clarification</t>
  </si>
  <si>
    <t xml:space="preserve">Question numbers highlighted in blue indicate that clarification is required and a clarification question needs to be asked.</t>
  </si>
  <si>
    <t xml:space="preserve">Hidden</t>
  </si>
  <si>
    <t xml:space="preserve">Is documented information required by the ISMS and by ISO/IEC 27001:2022 controlled?</t>
  </si>
  <si>
    <t xml:space="preserve">ISO/IEC 27001:2022 Annex A Gap Analysis Questionnaire - Clarification</t>
  </si>
</sst>
</file>

<file path=xl/styles.xml><?xml version="1.0" encoding="utf-8"?>
<styleSheet xmlns="http://schemas.openxmlformats.org/spreadsheetml/2006/main">
  <numFmts count="6">
    <numFmt numFmtId="164" formatCode="General"/>
    <numFmt numFmtId="165" formatCode="0"/>
    <numFmt numFmtId="166" formatCode="General"/>
    <numFmt numFmtId="167" formatCode="0.00"/>
    <numFmt numFmtId="168" formatCode="0.000"/>
    <numFmt numFmtId="169" formatCode="0.0"/>
  </numFmts>
  <fonts count="32">
    <font>
      <sz val="11"/>
      <color rgb="FF000000"/>
      <name val="Aptos Narrow"/>
      <family val="2"/>
      <charset val="1"/>
    </font>
    <font>
      <sz val="10"/>
      <name val="Arial"/>
      <family val="0"/>
    </font>
    <font>
      <sz val="10"/>
      <name val="Arial"/>
      <family val="0"/>
    </font>
    <font>
      <sz val="10"/>
      <name val="Arial"/>
      <family val="0"/>
    </font>
    <font>
      <sz val="10"/>
      <color rgb="FFFFFFFF"/>
      <name val="Aptos Narrow"/>
      <family val="2"/>
      <charset val="1"/>
    </font>
    <font>
      <b val="true"/>
      <sz val="10"/>
      <color rgb="FF000000"/>
      <name val="Aptos Narrow"/>
      <family val="2"/>
      <charset val="1"/>
    </font>
    <font>
      <b val="true"/>
      <sz val="10"/>
      <color rgb="FFFFFFFF"/>
      <name val="Aptos Narrow"/>
      <family val="2"/>
      <charset val="1"/>
    </font>
    <font>
      <i val="true"/>
      <sz val="10"/>
      <color rgb="FF808080"/>
      <name val="Aptos Narrow"/>
      <family val="2"/>
      <charset val="1"/>
    </font>
    <font>
      <b val="true"/>
      <sz val="24"/>
      <color rgb="FF000000"/>
      <name val="Aptos Narrow"/>
      <family val="2"/>
      <charset val="1"/>
    </font>
    <font>
      <u val="single"/>
      <sz val="10"/>
      <color rgb="FF0000EE"/>
      <name val="Aptos Narrow"/>
      <family val="2"/>
      <charset val="1"/>
    </font>
    <font>
      <sz val="10"/>
      <color rgb="FFCC0000"/>
      <name val="Aptos Narrow"/>
      <family val="2"/>
      <charset val="1"/>
    </font>
    <font>
      <b val="true"/>
      <sz val="16"/>
      <color rgb="FFFFFFFF"/>
      <name val="Aptos Narrow"/>
      <family val="2"/>
      <charset val="1"/>
    </font>
    <font>
      <sz val="10"/>
      <color rgb="FF000000"/>
      <name val="Aptos Narrow"/>
      <family val="2"/>
      <charset val="1"/>
    </font>
    <font>
      <b val="true"/>
      <sz val="11"/>
      <color rgb="FF000000"/>
      <name val="Aptos Narrow"/>
      <family val="2"/>
      <charset val="1"/>
    </font>
    <font>
      <u val="single"/>
      <sz val="10"/>
      <color rgb="FF000000"/>
      <name val="Aptos Narrow"/>
      <family val="2"/>
      <charset val="1"/>
    </font>
    <font>
      <sz val="12"/>
      <color rgb="FF000000"/>
      <name val="Aptos Narrow"/>
      <family val="2"/>
      <charset val="1"/>
    </font>
    <font>
      <sz val="8"/>
      <color rgb="FF000000"/>
      <name val="Aptos Narrow"/>
      <family val="2"/>
      <charset val="1"/>
    </font>
    <font>
      <sz val="12"/>
      <color rgb="FF0F4861"/>
      <name val="Aptos Narrow"/>
      <family val="2"/>
      <charset val="1"/>
    </font>
    <font>
      <b val="true"/>
      <sz val="12"/>
      <color rgb="FF0F4861"/>
      <name val="Aptos Narrow"/>
      <family val="2"/>
      <charset val="1"/>
    </font>
    <font>
      <b val="true"/>
      <sz val="12"/>
      <color rgb="FFFFFFFF"/>
      <name val="Aptos Narrow"/>
      <family val="2"/>
      <charset val="1"/>
    </font>
    <font>
      <b val="true"/>
      <sz val="12"/>
      <color rgb="FF0070C0"/>
      <name val="Aptos Narrow"/>
      <family val="2"/>
      <charset val="1"/>
    </font>
    <font>
      <b val="true"/>
      <sz val="14"/>
      <color rgb="FF000000"/>
      <name val="Aptos Narrow"/>
      <family val="2"/>
      <charset val="1"/>
    </font>
    <font>
      <i val="true"/>
      <sz val="10"/>
      <color rgb="FF000000"/>
      <name val="Aptos Narrow"/>
      <family val="2"/>
      <charset val="1"/>
    </font>
    <font>
      <b val="true"/>
      <sz val="12"/>
      <color rgb="FF000000"/>
      <name val="Aptos Narrow"/>
      <family val="2"/>
      <charset val="1"/>
    </font>
    <font>
      <i val="true"/>
      <sz val="12"/>
      <color rgb="FF000000"/>
      <name val="Aptos Narrow"/>
      <family val="2"/>
      <charset val="1"/>
    </font>
    <font>
      <i val="true"/>
      <sz val="10"/>
      <color rgb="FFC00000"/>
      <name val="Aptos Narrow"/>
      <family val="2"/>
      <charset val="1"/>
    </font>
    <font>
      <sz val="14"/>
      <color rgb="FF0F4861"/>
      <name val="Aptos Narrow"/>
      <family val="2"/>
      <charset val="1"/>
    </font>
    <font>
      <u val="single"/>
      <sz val="12"/>
      <color rgb="FF0066FF"/>
      <name val="Aptos Narrow"/>
      <family val="2"/>
      <charset val="1"/>
    </font>
    <font>
      <i val="true"/>
      <sz val="8"/>
      <color rgb="FFC00000"/>
      <name val="Aptos Narrow"/>
      <family val="2"/>
      <charset val="1"/>
    </font>
    <font>
      <b val="true"/>
      <sz val="8"/>
      <color rgb="FF000000"/>
      <name val="Aptos Narrow"/>
      <family val="2"/>
      <charset val="1"/>
    </font>
    <font>
      <sz val="8"/>
      <color rgb="FFFFFFFF"/>
      <name val="Aptos Narrow"/>
      <family val="2"/>
      <charset val="1"/>
    </font>
    <font>
      <i val="true"/>
      <sz val="10"/>
      <color rgb="FFFFFFFF"/>
      <name val="Aptos Narrow"/>
      <family val="2"/>
      <charset val="1"/>
    </font>
  </fonts>
  <fills count="21">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AE2D5"/>
      </patternFill>
    </fill>
    <fill>
      <patternFill patternType="solid">
        <fgColor rgb="FFCC0000"/>
        <bgColor rgb="FFC00000"/>
      </patternFill>
    </fill>
    <fill>
      <patternFill patternType="solid">
        <fgColor rgb="FF153D64"/>
        <bgColor rgb="FF0F4861"/>
      </patternFill>
    </fill>
    <fill>
      <patternFill patternType="solid">
        <fgColor rgb="FFEBF3FB"/>
        <bgColor rgb="FFF2F2F2"/>
      </patternFill>
    </fill>
    <fill>
      <patternFill patternType="solid">
        <fgColor rgb="FFC1E4F5"/>
        <bgColor rgb="FFCAEDFB"/>
      </patternFill>
    </fill>
    <fill>
      <patternFill patternType="solid">
        <fgColor rgb="FF8ED873"/>
        <bgColor rgb="FFBFBFBF"/>
      </patternFill>
    </fill>
    <fill>
      <patternFill patternType="solid">
        <fgColor rgb="FFC00000"/>
        <bgColor rgb="FFCC0000"/>
      </patternFill>
    </fill>
    <fill>
      <patternFill patternType="solid">
        <fgColor rgb="FFBFBFBF"/>
        <bgColor rgb="FFDDDDDD"/>
      </patternFill>
    </fill>
    <fill>
      <patternFill patternType="solid">
        <fgColor rgb="FFF6C6AC"/>
        <bgColor rgb="FFFFCDBD"/>
      </patternFill>
    </fill>
    <fill>
      <patternFill patternType="solid">
        <fgColor rgb="FFD9F2D0"/>
        <bgColor rgb="FFDDDDDD"/>
      </patternFill>
    </fill>
    <fill>
      <patternFill patternType="solid">
        <fgColor rgb="FFFFCDBD"/>
        <bgColor rgb="FFF6C6AC"/>
      </patternFill>
    </fill>
    <fill>
      <patternFill patternType="solid">
        <fgColor rgb="FFF2F2F2"/>
        <bgColor rgb="FFEBF3FB"/>
      </patternFill>
    </fill>
    <fill>
      <patternFill patternType="solid">
        <fgColor rgb="FFFAE2D5"/>
        <bgColor rgb="FFF2F2F2"/>
      </patternFill>
    </fill>
    <fill>
      <patternFill patternType="solid">
        <fgColor rgb="FFFFFFCC"/>
        <bgColor rgb="FFFFFFFF"/>
      </patternFill>
    </fill>
    <fill>
      <patternFill patternType="solid">
        <fgColor rgb="FFCAEDFB"/>
        <bgColor rgb="FFC1E4F5"/>
      </patternFill>
    </fill>
    <fill>
      <patternFill patternType="solid">
        <fgColor rgb="FF0A3041"/>
        <bgColor rgb="FF153D64"/>
      </patternFill>
    </fill>
    <fill>
      <patternFill patternType="solid">
        <fgColor rgb="FF156082"/>
        <bgColor rgb="FF215E99"/>
      </patternFill>
    </fill>
  </fills>
  <borders count="16">
    <border diagonalUp="false" diagonalDown="false">
      <left/>
      <right/>
      <top/>
      <bottom/>
      <diagonal/>
    </border>
    <border diagonalUp="false" diagonalDown="false">
      <left style="medium">
        <color rgb="FF215E99"/>
      </left>
      <right style="medium">
        <color rgb="FF215E99"/>
      </right>
      <top style="medium">
        <color rgb="FF215E99"/>
      </top>
      <bottom style="medium">
        <color rgb="FF215E99"/>
      </bottom>
      <diagonal/>
    </border>
    <border diagonalUp="false" diagonalDown="false">
      <left/>
      <right style="thin"/>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top/>
      <bottom/>
      <diagonal/>
    </border>
    <border diagonalUp="false" diagonalDown="false">
      <left style="thin">
        <color rgb="FF0A3041"/>
      </left>
      <right style="thin">
        <color rgb="FF0A3041"/>
      </right>
      <top/>
      <bottom style="thin">
        <color rgb="FF0A3041"/>
      </bottom>
      <diagonal/>
    </border>
    <border diagonalUp="false" diagonalDown="false">
      <left style="thin">
        <color rgb="FF0A3041"/>
      </left>
      <right style="thin">
        <color rgb="FF0A3041"/>
      </right>
      <top style="thin">
        <color rgb="FF0A3041"/>
      </top>
      <bottom style="thin">
        <color rgb="FF0A3041"/>
      </bottom>
      <diagonal/>
    </border>
    <border diagonalUp="false" diagonalDown="false">
      <left/>
      <right/>
      <top style="thin">
        <color rgb="FFFFFFFF"/>
      </top>
      <bottom/>
      <diagonal/>
    </border>
    <border diagonalUp="false" diagonalDown="false">
      <left style="thin">
        <color rgb="FF0A3041"/>
      </left>
      <right style="thin">
        <color rgb="FF0A3041"/>
      </right>
      <top style="thin">
        <color rgb="FF0A3041"/>
      </top>
      <bottom/>
      <diagonal/>
    </border>
    <border diagonalUp="false" diagonalDown="false">
      <left style="thin">
        <color rgb="FF0A3041"/>
      </left>
      <right/>
      <top style="thin">
        <color rgb="FF0A3041"/>
      </top>
      <bottom style="thin">
        <color rgb="FF0A3041"/>
      </bottom>
      <diagonal/>
    </border>
    <border diagonalUp="false" diagonalDown="false">
      <left style="thin">
        <color rgb="FFFFFFFF"/>
      </left>
      <right style="thin">
        <color rgb="FFFFFFFF"/>
      </right>
      <top style="thin">
        <color rgb="FFFFFFFF"/>
      </top>
      <bottom/>
      <diagonal/>
    </border>
    <border diagonalUp="false" diagonalDown="false">
      <left style="thin">
        <color rgb="FFFFFFFF"/>
      </left>
      <right/>
      <top style="thin">
        <color rgb="FFFFFFFF"/>
      </top>
      <bottom style="thin">
        <color rgb="FFFFFFFF"/>
      </bottom>
      <diagonal/>
    </border>
    <border diagonalUp="false" diagonalDown="false">
      <left/>
      <right/>
      <top style="thin">
        <color rgb="FF0A3041"/>
      </top>
      <bottom/>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11" fillId="6"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1" fillId="6" borderId="0" xfId="0" applyFont="true" applyBorder="true" applyAlignment="true" applyProtection="false">
      <alignment horizontal="left" vertical="center" textRotation="0" wrapText="tru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center" vertical="top" textRotation="0" wrapText="true" indent="0" shrinkToFit="false"/>
      <protection locked="true" hidden="false"/>
    </xf>
    <xf numFmtId="165" fontId="4" fillId="0" borderId="0" xfId="0" applyFont="true" applyBorder="false" applyAlignment="true" applyProtection="false">
      <alignment horizontal="center" vertical="top" textRotation="0" wrapText="true" indent="0" shrinkToFit="false"/>
      <protection locked="true" hidden="false"/>
    </xf>
    <xf numFmtId="164" fontId="17" fillId="0" borderId="2" xfId="0" applyFont="true" applyBorder="true" applyAlignment="true" applyProtection="false">
      <alignment horizontal="left" vertical="top" textRotation="0" wrapText="true" indent="0" shrinkToFit="false"/>
      <protection locked="true" hidden="false"/>
    </xf>
    <xf numFmtId="164" fontId="18" fillId="9" borderId="3" xfId="0" applyFont="true" applyBorder="true" applyAlignment="true" applyProtection="false">
      <alignment horizontal="center" vertical="center" textRotation="0" wrapText="true" indent="0" shrinkToFit="false"/>
      <protection locked="true" hidden="false"/>
    </xf>
    <xf numFmtId="164" fontId="19" fillId="10" borderId="3" xfId="0" applyFont="true" applyBorder="true" applyAlignment="true" applyProtection="false">
      <alignment horizontal="center" vertical="center" textRotation="0" wrapText="true" indent="0" shrinkToFit="false"/>
      <protection locked="true" hidden="false"/>
    </xf>
    <xf numFmtId="164" fontId="18" fillId="11" borderId="3" xfId="0" applyFont="true" applyBorder="true" applyAlignment="true" applyProtection="false">
      <alignment horizontal="center" vertical="center" textRotation="0" wrapText="true" indent="0" shrinkToFit="false"/>
      <protection locked="true" hidden="false"/>
    </xf>
    <xf numFmtId="164" fontId="18" fillId="0" borderId="3" xfId="0" applyFont="true" applyBorder="true" applyAlignment="true" applyProtection="false">
      <alignment horizontal="center" vertical="center" textRotation="0" wrapText="true" indent="0" shrinkToFit="false"/>
      <protection locked="true" hidden="false"/>
    </xf>
    <xf numFmtId="164" fontId="18" fillId="12" borderId="3"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center" vertical="top" textRotation="0" wrapText="true" indent="0" shrinkToFit="false"/>
      <protection locked="true" hidden="false"/>
    </xf>
    <xf numFmtId="164" fontId="15" fillId="0" borderId="3" xfId="0" applyFont="true" applyBorder="true" applyAlignment="true" applyProtection="false">
      <alignment horizontal="right" vertical="center" textRotation="0" wrapText="false" indent="0" shrinkToFit="false"/>
      <protection locked="true" hidden="false"/>
    </xf>
    <xf numFmtId="166" fontId="17" fillId="13" borderId="3" xfId="0" applyFont="true" applyBorder="true" applyAlignment="true" applyProtection="false">
      <alignment horizontal="center" vertical="center" textRotation="0" wrapText="true" indent="0" shrinkToFit="false"/>
      <protection locked="true" hidden="false"/>
    </xf>
    <xf numFmtId="166" fontId="17" fillId="14" borderId="3" xfId="0" applyFont="true" applyBorder="true" applyAlignment="true" applyProtection="false">
      <alignment horizontal="center" vertical="center" textRotation="0" wrapText="true" indent="0" shrinkToFit="false"/>
      <protection locked="true" hidden="false"/>
    </xf>
    <xf numFmtId="166" fontId="17" fillId="15" borderId="3" xfId="0" applyFont="true" applyBorder="true" applyAlignment="true" applyProtection="false">
      <alignment horizontal="center" vertical="center" textRotation="0" wrapText="true" indent="0" shrinkToFit="false"/>
      <protection locked="true" hidden="false"/>
    </xf>
    <xf numFmtId="166" fontId="17" fillId="0" borderId="3" xfId="0" applyFont="true" applyBorder="true" applyAlignment="true" applyProtection="false">
      <alignment horizontal="center" vertical="center" textRotation="0" wrapText="true" indent="0" shrinkToFit="false"/>
      <protection locked="true" hidden="false"/>
    </xf>
    <xf numFmtId="166" fontId="17" fillId="16" borderId="3" xfId="0" applyFont="true" applyBorder="true" applyAlignment="true" applyProtection="false">
      <alignment horizontal="center" vertical="center" textRotation="0" wrapText="true" indent="0" shrinkToFit="false"/>
      <protection locked="true" hidden="false"/>
    </xf>
    <xf numFmtId="164" fontId="20" fillId="0" borderId="3" xfId="0" applyFont="true" applyBorder="true" applyAlignment="true" applyProtection="false">
      <alignment horizontal="right" vertical="center"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23" fillId="0" borderId="3" xfId="0" applyFont="true" applyBorder="true" applyAlignment="true" applyProtection="false">
      <alignment horizontal="right" vertical="center" textRotation="0" wrapText="false" indent="0" shrinkToFit="false"/>
      <protection locked="true" hidden="false"/>
    </xf>
    <xf numFmtId="166" fontId="15" fillId="0" borderId="3" xfId="0" applyFont="true" applyBorder="true" applyAlignment="true" applyProtection="false">
      <alignment horizontal="center" vertical="center" textRotation="0" wrapText="false" indent="0" shrinkToFit="false"/>
      <protection locked="true" hidden="false"/>
    </xf>
    <xf numFmtId="164" fontId="12" fillId="17" borderId="4" xfId="0" applyFont="true" applyBorder="true" applyAlignment="true" applyProtection="false">
      <alignment horizontal="left" vertical="center" textRotation="0" wrapText="true" indent="0" shrinkToFit="false"/>
      <protection locked="true" hidden="false"/>
    </xf>
    <xf numFmtId="164" fontId="23" fillId="0" borderId="3"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24" fillId="0" borderId="3" xfId="0" applyFont="true" applyBorder="true" applyAlignment="true" applyProtection="false">
      <alignment horizontal="right" vertical="center" textRotation="0" wrapText="false" indent="0" shrinkToFit="false"/>
      <protection locked="true" hidden="false"/>
    </xf>
    <xf numFmtId="164" fontId="25" fillId="0" borderId="0" xfId="0" applyFont="true" applyBorder="tru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26" fillId="18" borderId="5" xfId="0" applyFont="true" applyBorder="true" applyAlignment="true" applyProtection="false">
      <alignment horizontal="left" vertical="top" textRotation="0" wrapText="true" indent="0" shrinkToFit="false"/>
      <protection locked="true" hidden="false"/>
    </xf>
    <xf numFmtId="164" fontId="26" fillId="0" borderId="0" xfId="0" applyFont="true" applyBorder="false" applyAlignment="true" applyProtection="false">
      <alignment horizontal="left" vertical="top" textRotation="0" wrapText="true" indent="0" shrinkToFit="false"/>
      <protection locked="true" hidden="false"/>
    </xf>
    <xf numFmtId="164" fontId="27" fillId="0" borderId="0" xfId="0" applyFont="true" applyBorder="true" applyAlignment="true" applyProtection="false">
      <alignment horizontal="left" vertical="center" textRotation="0" wrapText="true" indent="0" shrinkToFit="false"/>
      <protection locked="true" hidden="false"/>
    </xf>
    <xf numFmtId="164" fontId="19" fillId="19" borderId="6" xfId="0" applyFont="true" applyBorder="true" applyAlignment="true" applyProtection="false">
      <alignment horizontal="center" vertical="center" textRotation="0" wrapText="true" indent="0" shrinkToFit="false"/>
      <protection locked="true" hidden="false"/>
    </xf>
    <xf numFmtId="164" fontId="28" fillId="0" borderId="7"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center" vertical="center" textRotation="0" wrapText="true" indent="0" shrinkToFit="false"/>
      <protection locked="true" hidden="false"/>
    </xf>
    <xf numFmtId="164" fontId="11" fillId="20" borderId="6"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19" fillId="20" borderId="6" xfId="0" applyFont="true" applyBorder="true" applyAlignment="true" applyProtection="false">
      <alignment horizontal="center" vertical="center" textRotation="0" wrapText="true" indent="0" shrinkToFit="false"/>
      <protection locked="true" hidden="false"/>
    </xf>
    <xf numFmtId="164" fontId="4" fillId="20" borderId="6" xfId="0" applyFont="true" applyBorder="true" applyAlignment="true" applyProtection="false">
      <alignment horizontal="center" vertical="center" textRotation="0" wrapText="true" indent="0" shrinkToFit="false"/>
      <protection locked="true" hidden="false"/>
    </xf>
    <xf numFmtId="164" fontId="12" fillId="0" borderId="8" xfId="0" applyFont="true" applyBorder="true" applyAlignment="true" applyProtection="false">
      <alignment horizontal="center" vertical="center" textRotation="0" wrapText="true" indent="0" shrinkToFit="false"/>
      <protection locked="true" hidden="false"/>
    </xf>
    <xf numFmtId="164" fontId="12" fillId="0" borderId="8" xfId="0" applyFont="true" applyBorder="true" applyAlignment="true" applyProtection="false">
      <alignment horizontal="center" vertical="top" textRotation="0" wrapText="true" indent="0" shrinkToFit="false"/>
      <protection locked="true" hidden="false"/>
    </xf>
    <xf numFmtId="164" fontId="12" fillId="0" borderId="9" xfId="0" applyFont="true" applyBorder="true" applyAlignment="true" applyProtection="false">
      <alignment horizontal="center" vertical="center" textRotation="0" wrapText="true" indent="0" shrinkToFit="false"/>
      <protection locked="true" hidden="false"/>
    </xf>
    <xf numFmtId="164" fontId="12" fillId="0" borderId="9" xfId="0" applyFont="true" applyBorder="true" applyAlignment="true" applyProtection="false">
      <alignment horizontal="center" vertical="top" textRotation="0" wrapText="true" indent="0" shrinkToFit="false"/>
      <protection locked="true" hidden="false"/>
    </xf>
    <xf numFmtId="164" fontId="19" fillId="20" borderId="10" xfId="0" applyFont="true" applyBorder="true" applyAlignment="true" applyProtection="false">
      <alignment horizontal="center" vertical="center" textRotation="0" wrapText="true" indent="0" shrinkToFit="false"/>
      <protection locked="true" hidden="false"/>
    </xf>
    <xf numFmtId="164" fontId="4" fillId="20" borderId="0" xfId="0" applyFont="true" applyBorder="false" applyAlignment="true" applyProtection="false">
      <alignment horizontal="center" vertical="center" textRotation="0" wrapText="true" indent="0" shrinkToFit="false"/>
      <protection locked="true" hidden="false"/>
    </xf>
    <xf numFmtId="164" fontId="12" fillId="15" borderId="9" xfId="0" applyFont="true" applyBorder="true" applyAlignment="true" applyProtection="false">
      <alignment horizontal="center" vertical="center" textRotation="0" wrapText="true" indent="0" shrinkToFit="false"/>
      <protection locked="true" hidden="false"/>
    </xf>
    <xf numFmtId="164" fontId="12" fillId="15" borderId="9" xfId="0" applyFont="true" applyBorder="true" applyAlignment="true" applyProtection="false">
      <alignment horizontal="center" vertical="top" textRotation="0" wrapText="true" indent="0" shrinkToFit="false"/>
      <protection locked="true" hidden="false"/>
    </xf>
    <xf numFmtId="167" fontId="12" fillId="0" borderId="9" xfId="0" applyFont="true" applyBorder="true" applyAlignment="true" applyProtection="false">
      <alignment horizontal="center" vertical="center" textRotation="0" wrapText="true" indent="0" shrinkToFit="false"/>
      <protection locked="true" hidden="false"/>
    </xf>
    <xf numFmtId="168" fontId="12" fillId="0" borderId="9" xfId="0" applyFont="true" applyBorder="true" applyAlignment="true" applyProtection="false">
      <alignment horizontal="center" vertical="center" textRotation="0" wrapText="true" indent="0" shrinkToFit="false"/>
      <protection locked="true" hidden="false"/>
    </xf>
    <xf numFmtId="169" fontId="12" fillId="0" borderId="9" xfId="0" applyFont="true" applyBorder="true" applyAlignment="true" applyProtection="false">
      <alignment horizontal="center" vertical="center" textRotation="0" wrapText="true" indent="0" shrinkToFit="false"/>
      <protection locked="true" hidden="false"/>
    </xf>
    <xf numFmtId="167" fontId="12" fillId="15" borderId="9" xfId="0" applyFont="true" applyBorder="true" applyAlignment="true" applyProtection="false">
      <alignment horizontal="center" vertical="center" textRotation="0" wrapText="true" indent="0" shrinkToFit="false"/>
      <protection locked="true" hidden="false"/>
    </xf>
    <xf numFmtId="164" fontId="12" fillId="0" borderId="11" xfId="0" applyFont="true" applyBorder="true" applyAlignment="true" applyProtection="false">
      <alignment horizontal="center" vertical="center" textRotation="0" wrapText="true" indent="0" shrinkToFit="false"/>
      <protection locked="true" hidden="false"/>
    </xf>
    <xf numFmtId="169" fontId="12" fillId="0" borderId="12"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5" fontId="30" fillId="0" borderId="0" xfId="0" applyFont="true" applyBorder="false" applyAlignment="true" applyProtection="false">
      <alignment horizontal="center" vertical="center" textRotation="0" wrapText="tru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19" fillId="19" borderId="13" xfId="0" applyFont="true" applyBorder="true" applyAlignment="true" applyProtection="false">
      <alignment horizontal="center" vertical="center" textRotation="0" wrapText="true" indent="0" shrinkToFit="false"/>
      <protection locked="true" hidden="false"/>
    </xf>
    <xf numFmtId="164" fontId="11" fillId="20" borderId="14" xfId="0" applyFont="true" applyBorder="true" applyAlignment="true" applyProtection="false">
      <alignment horizontal="center" vertical="center" textRotation="0" wrapText="true" indent="0" shrinkToFit="false"/>
      <protection locked="true" hidden="false"/>
    </xf>
    <xf numFmtId="164" fontId="28" fillId="0" borderId="3" xfId="0" applyFont="true" applyBorder="true" applyAlignment="true" applyProtection="false">
      <alignment horizontal="center" vertical="center" textRotation="0" wrapText="true" indent="0" shrinkToFit="false"/>
      <protection locked="true" hidden="false"/>
    </xf>
    <xf numFmtId="164" fontId="31" fillId="10" borderId="7" xfId="0" applyFont="true" applyBorder="true" applyAlignment="true" applyProtection="false">
      <alignment horizontal="center" vertical="center" textRotation="0" wrapText="true" indent="0" shrinkToFit="false"/>
      <protection locked="true" hidden="false"/>
    </xf>
    <xf numFmtId="164" fontId="19" fillId="20" borderId="15" xfId="0" applyFont="true" applyBorder="true" applyAlignment="true" applyProtection="false">
      <alignment horizontal="center" vertical="center" textRotation="0" wrapText="true" indent="0" shrinkToFit="false"/>
      <protection locked="true" hidden="false"/>
    </xf>
    <xf numFmtId="164" fontId="12" fillId="0" borderId="11" xfId="0" applyFont="true" applyBorder="true" applyAlignment="true" applyProtection="false">
      <alignment horizontal="center" vertical="top" textRotation="0" wrapText="true" indent="0" shrinkToFit="false"/>
      <protection locked="true" hidden="false"/>
    </xf>
    <xf numFmtId="164" fontId="12" fillId="15" borderId="8" xfId="0" applyFont="true" applyBorder="true" applyAlignment="true" applyProtection="false">
      <alignment horizontal="center" vertical="center" textRotation="0" wrapText="true" indent="0" shrinkToFit="false"/>
      <protection locked="true" hidden="false"/>
    </xf>
    <xf numFmtId="164" fontId="12" fillId="15" borderId="8" xfId="0" applyFont="true" applyBorder="true" applyAlignment="true" applyProtection="false">
      <alignment horizontal="center" vertical="top" textRotation="0" wrapText="tru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Error 8" xfId="24"/>
    <cellStyle name="Footnote 9" xfId="25"/>
    <cellStyle name="Heading 10" xfId="26"/>
    <cellStyle name="Hyperlink 11" xfId="27"/>
    <cellStyle name="Status 12" xfId="28"/>
    <cellStyle name="Text 13" xfId="29"/>
    <cellStyle name="Warning 14" xfId="30"/>
  </cellStyles>
  <dxfs count="1">
    <dxf>
      <font>
        <color rgb="FF000000"/>
      </font>
      <fill>
        <patternFill>
          <bgColor rgb="FFCAEDFB"/>
        </patternFill>
      </fill>
    </dxf>
  </dxfs>
  <colors>
    <indexedColors>
      <rgbColor rgb="FF000000"/>
      <rgbColor rgb="FFFFFFFF"/>
      <rgbColor rgb="FFCC0000"/>
      <rgbColor rgb="FF00FF00"/>
      <rgbColor rgb="FF0000EE"/>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FFFCC"/>
      <rgbColor rgb="FFCAEDFB"/>
      <rgbColor rgb="FF660066"/>
      <rgbColor rgb="FFFF8080"/>
      <rgbColor rgb="FF0070C0"/>
      <rgbColor rgb="FFDDDDDD"/>
      <rgbColor rgb="FF000080"/>
      <rgbColor rgb="FFFF00FF"/>
      <rgbColor rgb="FFFFFF00"/>
      <rgbColor rgb="FF00FFFF"/>
      <rgbColor rgb="FF800080"/>
      <rgbColor rgb="FF800000"/>
      <rgbColor rgb="FF215E99"/>
      <rgbColor rgb="FF0000FF"/>
      <rgbColor rgb="FF00CCFF"/>
      <rgbColor rgb="FFEBF3FB"/>
      <rgbColor rgb="FFD9F2D0"/>
      <rgbColor rgb="FFFAE2D5"/>
      <rgbColor rgb="FFC1E4F5"/>
      <rgbColor rgb="FFFFCDBD"/>
      <rgbColor rgb="FFF2F2F2"/>
      <rgbColor rgb="FFF6C6AC"/>
      <rgbColor rgb="FF0066FF"/>
      <rgbColor rgb="FF33CCCC"/>
      <rgbColor rgb="FF8ED873"/>
      <rgbColor rgb="FFFFCC00"/>
      <rgbColor rgb="FFFF9900"/>
      <rgbColor rgb="FFFF6600"/>
      <rgbColor rgb="FF666699"/>
      <rgbColor rgb="FF969696"/>
      <rgbColor rgb="FF0A3041"/>
      <rgbColor rgb="FF339966"/>
      <rgbColor rgb="FF003300"/>
      <rgbColor rgb="FF333300"/>
      <rgbColor rgb="FF993300"/>
      <rgbColor rgb="FF993366"/>
      <rgbColor rgb="FF0F4861"/>
      <rgbColor rgb="FF153D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82"/>
    <col collapsed="false" customWidth="true" hidden="false" outlineLevel="0" max="22" min="2" style="1" width="8.61"/>
    <col collapsed="false" customWidth="true" hidden="false" outlineLevel="0" max="1024" min="23" style="1" width="12.24"/>
  </cols>
  <sheetData>
    <row r="1" customFormat="false" ht="9"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row>
    <row r="2" customFormat="false" ht="49.5" hidden="false" customHeight="true" outlineLevel="0" collapsed="false">
      <c r="A2" s="3"/>
      <c r="B2" s="4" t="s">
        <v>0</v>
      </c>
      <c r="C2" s="4"/>
      <c r="D2" s="4"/>
      <c r="E2" s="4"/>
      <c r="F2" s="4"/>
      <c r="G2" s="4"/>
      <c r="H2" s="4"/>
      <c r="I2" s="4"/>
      <c r="J2" s="4"/>
      <c r="K2" s="4"/>
      <c r="L2" s="4"/>
      <c r="M2" s="4"/>
      <c r="N2" s="4"/>
      <c r="O2" s="4"/>
      <c r="P2" s="5"/>
      <c r="Q2" s="5"/>
      <c r="R2" s="5"/>
      <c r="S2" s="5"/>
      <c r="T2" s="5"/>
      <c r="U2" s="5"/>
      <c r="V2" s="5"/>
      <c r="W2" s="5"/>
      <c r="X2" s="5"/>
      <c r="Y2" s="5"/>
      <c r="Z2" s="5"/>
    </row>
    <row r="3" customFormat="false" ht="4.5" hidden="false" customHeight="true" outlineLevel="0" collapsed="false">
      <c r="A3" s="3"/>
      <c r="B3" s="6"/>
      <c r="C3" s="6"/>
      <c r="D3" s="6"/>
      <c r="E3" s="6"/>
      <c r="F3" s="6"/>
      <c r="G3" s="6"/>
      <c r="H3" s="7"/>
      <c r="I3" s="5"/>
      <c r="J3" s="7"/>
      <c r="K3" s="7"/>
      <c r="L3" s="7"/>
      <c r="M3" s="5"/>
      <c r="N3" s="5"/>
      <c r="O3" s="5"/>
      <c r="P3" s="5"/>
      <c r="Q3" s="5"/>
      <c r="R3" s="5"/>
      <c r="S3" s="5"/>
      <c r="T3" s="5"/>
      <c r="U3" s="5"/>
      <c r="V3" s="5"/>
      <c r="W3" s="5"/>
      <c r="X3" s="5"/>
      <c r="Y3" s="5"/>
      <c r="Z3" s="5"/>
    </row>
    <row r="4" customFormat="false" ht="109.5" hidden="false" customHeight="true" outlineLevel="0" collapsed="false">
      <c r="A4" s="5"/>
      <c r="B4" s="8" t="s">
        <v>1</v>
      </c>
      <c r="C4" s="8"/>
      <c r="D4" s="8"/>
      <c r="E4" s="8"/>
      <c r="F4" s="8"/>
      <c r="G4" s="8"/>
      <c r="H4" s="8"/>
      <c r="I4" s="8"/>
      <c r="J4" s="8"/>
      <c r="K4" s="8"/>
      <c r="L4" s="8"/>
      <c r="M4" s="8"/>
      <c r="N4" s="8"/>
      <c r="O4" s="8"/>
      <c r="P4" s="5"/>
      <c r="Q4" s="5"/>
      <c r="R4" s="5"/>
      <c r="S4" s="5"/>
      <c r="T4" s="5"/>
      <c r="U4" s="5"/>
      <c r="V4" s="5"/>
      <c r="W4" s="5"/>
      <c r="X4" s="5"/>
      <c r="Y4" s="5"/>
      <c r="Z4" s="5"/>
    </row>
    <row r="5" customFormat="false" ht="152.25" hidden="false" customHeight="true" outlineLevel="0" collapsed="false">
      <c r="A5" s="2"/>
      <c r="B5" s="8"/>
      <c r="C5" s="8"/>
      <c r="D5" s="8"/>
      <c r="E5" s="8"/>
      <c r="F5" s="8"/>
      <c r="G5" s="8"/>
      <c r="H5" s="8"/>
      <c r="I5" s="8"/>
      <c r="J5" s="8"/>
      <c r="K5" s="8"/>
      <c r="L5" s="8"/>
      <c r="M5" s="8"/>
      <c r="N5" s="8"/>
      <c r="O5" s="8"/>
      <c r="P5" s="2"/>
      <c r="Q5" s="2"/>
      <c r="R5" s="2"/>
      <c r="S5" s="2"/>
      <c r="T5" s="2"/>
      <c r="U5" s="2"/>
      <c r="V5" s="2"/>
      <c r="W5" s="2"/>
      <c r="X5" s="2"/>
      <c r="Y5" s="2"/>
      <c r="Z5" s="2"/>
    </row>
    <row r="6" customFormat="false" ht="105" hidden="false" customHeight="true" outlineLevel="0" collapsed="false">
      <c r="A6" s="2"/>
      <c r="B6" s="8"/>
      <c r="C6" s="8"/>
      <c r="D6" s="8"/>
      <c r="E6" s="8"/>
      <c r="F6" s="8"/>
      <c r="G6" s="8"/>
      <c r="H6" s="8"/>
      <c r="I6" s="8"/>
      <c r="J6" s="8"/>
      <c r="K6" s="8"/>
      <c r="L6" s="8"/>
      <c r="M6" s="8"/>
      <c r="N6" s="8"/>
      <c r="O6" s="8"/>
      <c r="P6" s="2"/>
      <c r="Q6" s="2"/>
      <c r="R6" s="2"/>
      <c r="S6" s="2"/>
      <c r="T6" s="2"/>
      <c r="U6" s="2"/>
      <c r="V6" s="2"/>
      <c r="W6" s="2"/>
      <c r="X6" s="2"/>
      <c r="Y6" s="2"/>
      <c r="Z6" s="2"/>
    </row>
    <row r="7" customFormat="false" ht="132" hidden="false" customHeight="true" outlineLevel="0" collapsed="false">
      <c r="A7" s="2"/>
      <c r="B7" s="8"/>
      <c r="C7" s="8"/>
      <c r="D7" s="8"/>
      <c r="E7" s="8"/>
      <c r="F7" s="8"/>
      <c r="G7" s="8"/>
      <c r="H7" s="8"/>
      <c r="I7" s="8"/>
      <c r="J7" s="8"/>
      <c r="K7" s="8"/>
      <c r="L7" s="8"/>
      <c r="M7" s="8"/>
      <c r="N7" s="8"/>
      <c r="O7" s="8"/>
      <c r="P7" s="2"/>
      <c r="Q7" s="2"/>
      <c r="R7" s="2"/>
      <c r="S7" s="2"/>
      <c r="T7" s="2"/>
      <c r="U7" s="2"/>
      <c r="V7" s="2"/>
      <c r="W7" s="2"/>
      <c r="X7" s="2"/>
      <c r="Y7" s="2"/>
      <c r="Z7" s="2"/>
    </row>
    <row r="8" customFormat="false" ht="82.5" hidden="false" customHeight="true" outlineLevel="0" collapsed="false">
      <c r="A8" s="2"/>
      <c r="B8" s="8"/>
      <c r="C8" s="8"/>
      <c r="D8" s="8"/>
      <c r="E8" s="8"/>
      <c r="F8" s="8"/>
      <c r="G8" s="8"/>
      <c r="H8" s="8"/>
      <c r="I8" s="8"/>
      <c r="J8" s="8"/>
      <c r="K8" s="8"/>
      <c r="L8" s="8"/>
      <c r="M8" s="8"/>
      <c r="N8" s="8"/>
      <c r="O8" s="8"/>
      <c r="P8" s="2"/>
      <c r="Q8" s="2"/>
      <c r="R8" s="2"/>
      <c r="S8" s="2"/>
      <c r="T8" s="2"/>
      <c r="U8" s="2"/>
      <c r="V8" s="2"/>
      <c r="W8" s="2"/>
      <c r="X8" s="2"/>
      <c r="Y8" s="2"/>
      <c r="Z8" s="2"/>
    </row>
    <row r="9" customFormat="false" ht="40.5" hidden="false" customHeight="true" outlineLevel="0" collapsed="false">
      <c r="A9" s="2"/>
      <c r="B9" s="8"/>
      <c r="C9" s="8"/>
      <c r="D9" s="8"/>
      <c r="E9" s="8"/>
      <c r="F9" s="8"/>
      <c r="G9" s="8"/>
      <c r="H9" s="8"/>
      <c r="I9" s="8"/>
      <c r="J9" s="8"/>
      <c r="K9" s="8"/>
      <c r="L9" s="8"/>
      <c r="M9" s="8"/>
      <c r="N9" s="8"/>
      <c r="O9" s="8"/>
      <c r="P9" s="2"/>
      <c r="Q9" s="2"/>
      <c r="R9" s="2"/>
      <c r="S9" s="2"/>
      <c r="T9" s="2"/>
      <c r="U9" s="2"/>
      <c r="V9" s="2"/>
      <c r="W9" s="2"/>
      <c r="X9" s="2"/>
      <c r="Y9" s="2"/>
      <c r="Z9" s="2"/>
    </row>
    <row r="10" customFormat="false" ht="7.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68.25" hidden="false" customHeight="true" outlineLevel="0" collapsed="false">
      <c r="A11" s="2"/>
      <c r="B11" s="9" t="s">
        <v>2</v>
      </c>
      <c r="C11" s="9"/>
      <c r="D11" s="9"/>
      <c r="E11" s="9"/>
      <c r="F11" s="9"/>
      <c r="G11" s="9"/>
      <c r="H11" s="9"/>
      <c r="I11" s="9"/>
      <c r="J11" s="9"/>
      <c r="K11" s="9"/>
      <c r="L11" s="9"/>
      <c r="M11" s="9"/>
      <c r="N11" s="9"/>
      <c r="O11" s="9"/>
      <c r="P11" s="2"/>
      <c r="Q11" s="2"/>
      <c r="R11" s="2"/>
      <c r="S11" s="2"/>
      <c r="T11" s="2"/>
      <c r="U11" s="2"/>
      <c r="V11" s="2"/>
      <c r="W11" s="2"/>
      <c r="X11" s="2"/>
      <c r="Y11" s="2"/>
      <c r="Z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B2:O2"/>
    <mergeCell ref="B4:O9"/>
    <mergeCell ref="B11:O11"/>
  </mergeCells>
  <printOptions headings="false" gridLines="false" gridLinesSet="true" horizontalCentered="false" verticalCentered="false"/>
  <pageMargins left="0.7" right="0.7" top="1.14375" bottom="1.14375" header="0.511811023622047" footer="0.511811023622047"/>
  <pageSetup paperSize="9" scale="6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98"/>
    <col collapsed="false" customWidth="true" hidden="false" outlineLevel="0" max="2" min="2" style="1" width="10.09"/>
    <col collapsed="false" customWidth="true" hidden="false" outlineLevel="0" max="3" min="3" style="1" width="58.11"/>
    <col collapsed="false" customWidth="true" hidden="false" outlineLevel="0" max="8" min="4" style="1" width="20.04"/>
    <col collapsed="false" customWidth="true" hidden="false" outlineLevel="0" max="26" min="9" style="1" width="8.47"/>
    <col collapsed="false" customWidth="true" hidden="false" outlineLevel="0" max="1024" min="27" style="1" width="12.24"/>
  </cols>
  <sheetData>
    <row r="2" customFormat="false" ht="49.5" hidden="false" customHeight="true" outlineLevel="0" collapsed="false">
      <c r="A2" s="5"/>
      <c r="B2" s="10" t="s">
        <v>3</v>
      </c>
      <c r="C2" s="10"/>
      <c r="D2" s="10"/>
      <c r="E2" s="10"/>
      <c r="F2" s="10"/>
      <c r="G2" s="10"/>
      <c r="H2" s="10"/>
      <c r="I2" s="7"/>
      <c r="J2" s="5"/>
      <c r="K2" s="7"/>
      <c r="L2" s="7"/>
      <c r="M2" s="7"/>
      <c r="N2" s="5"/>
      <c r="O2" s="5"/>
      <c r="P2" s="5"/>
      <c r="Q2" s="5"/>
      <c r="R2" s="5"/>
      <c r="S2" s="5"/>
      <c r="T2" s="5"/>
      <c r="U2" s="5"/>
      <c r="V2" s="5"/>
      <c r="W2" s="5"/>
      <c r="X2" s="5"/>
      <c r="Y2" s="5"/>
      <c r="Z2" s="5"/>
    </row>
    <row r="3" customFormat="false" ht="19.5" hidden="false" customHeight="true" outlineLevel="0" collapsed="false">
      <c r="A3" s="5"/>
      <c r="B3" s="3"/>
      <c r="C3" s="6"/>
      <c r="D3" s="6"/>
      <c r="E3" s="6"/>
      <c r="F3" s="6"/>
      <c r="G3" s="6"/>
      <c r="H3" s="6"/>
      <c r="I3" s="7"/>
      <c r="J3" s="5"/>
      <c r="K3" s="7"/>
      <c r="L3" s="7"/>
      <c r="M3" s="7"/>
      <c r="N3" s="5"/>
      <c r="O3" s="5"/>
      <c r="P3" s="5"/>
      <c r="Q3" s="5"/>
      <c r="R3" s="5"/>
      <c r="S3" s="5"/>
      <c r="T3" s="5"/>
      <c r="U3" s="5"/>
      <c r="V3" s="5"/>
      <c r="W3" s="5"/>
      <c r="X3" s="5"/>
      <c r="Y3" s="5"/>
      <c r="Z3" s="5"/>
    </row>
    <row r="4" customFormat="false" ht="19.5" hidden="false" customHeight="true" outlineLevel="0" collapsed="false">
      <c r="A4" s="5"/>
      <c r="B4" s="11" t="s">
        <v>4</v>
      </c>
      <c r="C4" s="11"/>
      <c r="D4" s="11"/>
      <c r="E4" s="11"/>
      <c r="F4" s="11"/>
      <c r="G4" s="11"/>
      <c r="H4" s="11"/>
      <c r="I4" s="7"/>
      <c r="J4" s="5"/>
      <c r="K4" s="7"/>
      <c r="L4" s="7"/>
      <c r="M4" s="7"/>
      <c r="N4" s="5"/>
      <c r="O4" s="5"/>
      <c r="P4" s="5"/>
      <c r="Q4" s="5"/>
      <c r="R4" s="5"/>
      <c r="S4" s="5"/>
      <c r="T4" s="5"/>
      <c r="U4" s="5"/>
      <c r="V4" s="5"/>
      <c r="W4" s="5"/>
      <c r="X4" s="5"/>
      <c r="Y4" s="5"/>
      <c r="Z4" s="5"/>
    </row>
    <row r="5" customFormat="false" ht="19.5" hidden="false" customHeight="true" outlineLevel="0" collapsed="false">
      <c r="A5" s="5"/>
      <c r="B5" s="3"/>
      <c r="C5" s="6"/>
      <c r="D5" s="6"/>
      <c r="E5" s="6"/>
      <c r="F5" s="6"/>
      <c r="G5" s="6"/>
      <c r="H5" s="6"/>
      <c r="I5" s="7"/>
      <c r="J5" s="5"/>
      <c r="K5" s="7"/>
      <c r="L5" s="7"/>
      <c r="M5" s="7"/>
      <c r="N5" s="5"/>
      <c r="O5" s="5"/>
      <c r="P5" s="5"/>
      <c r="Q5" s="5"/>
      <c r="R5" s="5"/>
      <c r="S5" s="5"/>
      <c r="T5" s="5"/>
      <c r="U5" s="5"/>
      <c r="V5" s="5"/>
      <c r="W5" s="5"/>
      <c r="X5" s="5"/>
      <c r="Y5" s="5"/>
      <c r="Z5" s="5"/>
    </row>
    <row r="6" customFormat="false" ht="30" hidden="false" customHeight="true" outlineLevel="0" collapsed="false">
      <c r="A6" s="12"/>
      <c r="B6" s="13"/>
      <c r="C6" s="14"/>
      <c r="D6" s="15" t="s">
        <v>5</v>
      </c>
      <c r="E6" s="16" t="s">
        <v>6</v>
      </c>
      <c r="F6" s="17" t="s">
        <v>7</v>
      </c>
      <c r="G6" s="18" t="s">
        <v>8</v>
      </c>
      <c r="H6" s="19" t="s">
        <v>9</v>
      </c>
      <c r="I6" s="12"/>
      <c r="J6" s="12"/>
      <c r="K6" s="20"/>
      <c r="L6" s="20"/>
      <c r="M6" s="21"/>
      <c r="N6" s="20"/>
      <c r="O6" s="20"/>
      <c r="P6" s="20"/>
      <c r="Q6" s="20"/>
      <c r="R6" s="20"/>
      <c r="S6" s="20"/>
      <c r="T6" s="20"/>
      <c r="U6" s="20"/>
      <c r="V6" s="20"/>
      <c r="W6" s="20"/>
      <c r="X6" s="20"/>
      <c r="Y6" s="20"/>
      <c r="Z6" s="20"/>
    </row>
    <row r="7" customFormat="false" ht="30" hidden="false" customHeight="true" outlineLevel="0" collapsed="false">
      <c r="A7" s="12"/>
      <c r="B7" s="22" t="s">
        <v>10</v>
      </c>
      <c r="C7" s="22"/>
      <c r="D7" s="23" t="n">
        <f aca="false">COUNTIF('ISO27k Gap Analysis Questions'!I10:I43, "1")</f>
        <v>0</v>
      </c>
      <c r="E7" s="24" t="n">
        <f aca="false">COUNTIF('ISO27k Gap Analysis Questions'!J10:J43, "1")</f>
        <v>22</v>
      </c>
      <c r="F7" s="25" t="n">
        <f aca="false">COUNTIF('ISO27k Gap Analysis Questions'!K10:K43, "1")</f>
        <v>0</v>
      </c>
      <c r="G7" s="26" t="n">
        <f aca="false">COUNTIF('ISO27k Gap Analysis Questions'!L10:L43, "1")</f>
        <v>6</v>
      </c>
      <c r="H7" s="27" t="n">
        <f aca="false">COUNTIF('ISO27k Gap Analysis Questions'!M10:M43, "1")</f>
        <v>0</v>
      </c>
      <c r="I7" s="12"/>
      <c r="J7" s="12"/>
      <c r="K7" s="20"/>
      <c r="L7" s="20"/>
      <c r="M7" s="21"/>
      <c r="N7" s="20"/>
      <c r="O7" s="20"/>
      <c r="P7" s="20"/>
      <c r="Q7" s="20"/>
      <c r="R7" s="20"/>
      <c r="S7" s="20"/>
      <c r="T7" s="20"/>
      <c r="U7" s="20"/>
      <c r="V7" s="20"/>
      <c r="W7" s="20"/>
      <c r="X7" s="20"/>
      <c r="Y7" s="20"/>
      <c r="Z7" s="20"/>
    </row>
    <row r="8" customFormat="false" ht="30" hidden="false" customHeight="true" outlineLevel="0" collapsed="false">
      <c r="A8" s="12"/>
      <c r="B8" s="28" t="s">
        <v>11</v>
      </c>
      <c r="C8" s="28"/>
      <c r="D8" s="29"/>
      <c r="E8" s="29"/>
      <c r="F8" s="29"/>
      <c r="G8" s="29"/>
      <c r="H8" s="29"/>
      <c r="I8" s="12"/>
      <c r="J8" s="12"/>
      <c r="K8" s="20"/>
      <c r="L8" s="20"/>
      <c r="M8" s="21"/>
      <c r="N8" s="20"/>
      <c r="O8" s="20"/>
      <c r="P8" s="20"/>
      <c r="Q8" s="20"/>
      <c r="R8" s="20"/>
      <c r="S8" s="20"/>
      <c r="T8" s="20"/>
      <c r="U8" s="20"/>
      <c r="V8" s="20"/>
      <c r="W8" s="20"/>
      <c r="X8" s="20"/>
      <c r="Y8" s="20"/>
      <c r="Z8" s="20"/>
    </row>
    <row r="9" customFormat="false" ht="30" hidden="false" customHeight="true" outlineLevel="0" collapsed="false">
      <c r="A9" s="12"/>
      <c r="B9" s="22" t="s">
        <v>12</v>
      </c>
      <c r="C9" s="22"/>
      <c r="D9" s="23" t="n">
        <f aca="false">COUNTIF('ISO27k Gap Analysis Questions'!I46:I111, "1")</f>
        <v>2</v>
      </c>
      <c r="E9" s="24" t="n">
        <f aca="false">COUNTIF('ISO27k Gap Analysis Questions'!J46:J111, "1")</f>
        <v>51</v>
      </c>
      <c r="F9" s="25" t="n">
        <f aca="false">COUNTIF('ISO27k Gap Analysis Questions'!K46:K111, "1")</f>
        <v>0</v>
      </c>
      <c r="G9" s="26" t="n">
        <f aca="false">COUNTIF('ISO27k Gap Analysis Questions'!L46:L111, "1")</f>
        <v>13</v>
      </c>
      <c r="H9" s="27" t="n">
        <f aca="false">COUNTIF('ISO27k Gap Analysis Questions'!M46:M111, "1")</f>
        <v>0</v>
      </c>
      <c r="I9" s="12"/>
      <c r="J9" s="12"/>
      <c r="K9" s="20"/>
      <c r="L9" s="20"/>
      <c r="M9" s="21"/>
      <c r="N9" s="20"/>
      <c r="O9" s="20"/>
      <c r="P9" s="20"/>
      <c r="Q9" s="20"/>
      <c r="R9" s="20"/>
      <c r="S9" s="20"/>
      <c r="T9" s="20"/>
      <c r="U9" s="20"/>
      <c r="V9" s="20"/>
      <c r="W9" s="20"/>
      <c r="X9" s="20"/>
      <c r="Y9" s="20"/>
      <c r="Z9" s="20"/>
    </row>
    <row r="10" customFormat="false" ht="30" hidden="false" customHeight="true" outlineLevel="0" collapsed="false">
      <c r="A10" s="12"/>
      <c r="B10" s="22" t="s">
        <v>13</v>
      </c>
      <c r="C10" s="22"/>
      <c r="D10" s="23" t="n">
        <f aca="false">COUNTIF('ISO27k Gap Analysis Questions'!I113:I127, "1")</f>
        <v>5</v>
      </c>
      <c r="E10" s="24" t="n">
        <f aca="false">COUNTIF('ISO27k Gap Analysis Questions'!J113:J127, "1")</f>
        <v>6</v>
      </c>
      <c r="F10" s="25" t="n">
        <f aca="false">COUNTIF('ISO27k Gap Analysis Questions'!K113:K127, "1")</f>
        <v>0</v>
      </c>
      <c r="G10" s="26" t="n">
        <f aca="false">COUNTIF('ISO27k Gap Analysis Questions'!L113:L127, "1")</f>
        <v>4</v>
      </c>
      <c r="H10" s="27" t="n">
        <f aca="false">COUNTIF('ISO27k Gap Analysis Questions'!M113:M127, "1")</f>
        <v>0</v>
      </c>
      <c r="I10" s="12"/>
      <c r="J10" s="12"/>
      <c r="K10" s="20"/>
      <c r="L10" s="20"/>
      <c r="M10" s="21"/>
      <c r="N10" s="20"/>
      <c r="O10" s="20"/>
      <c r="P10" s="20"/>
      <c r="Q10" s="20"/>
      <c r="R10" s="20"/>
      <c r="S10" s="20"/>
      <c r="T10" s="20"/>
      <c r="U10" s="20"/>
      <c r="V10" s="20"/>
      <c r="W10" s="20"/>
      <c r="X10" s="20"/>
      <c r="Y10" s="20"/>
      <c r="Z10" s="20"/>
    </row>
    <row r="11" customFormat="false" ht="30" hidden="false" customHeight="true" outlineLevel="0" collapsed="false">
      <c r="A11" s="12"/>
      <c r="B11" s="22" t="s">
        <v>14</v>
      </c>
      <c r="C11" s="22"/>
      <c r="D11" s="23" t="n">
        <f aca="false">COUNTIF('ISO27k Gap Analysis Questions'!I129:I142, "1")</f>
        <v>7</v>
      </c>
      <c r="E11" s="24" t="n">
        <f aca="false">COUNTIF('ISO27k Gap Analysis Questions'!J129:J142, "1")</f>
        <v>3</v>
      </c>
      <c r="F11" s="25" t="n">
        <f aca="false">COUNTIF('ISO27k Gap Analysis Questions'!K129:K142, "1")</f>
        <v>0</v>
      </c>
      <c r="G11" s="26" t="n">
        <f aca="false">COUNTIF('ISO27k Gap Analysis Questions'!L129:L142, "1")</f>
        <v>4</v>
      </c>
      <c r="H11" s="27" t="n">
        <f aca="false">COUNTIF('ISO27k Gap Analysis Questions'!M129:M142, "1")</f>
        <v>0</v>
      </c>
      <c r="I11" s="12"/>
      <c r="J11" s="12"/>
      <c r="K11" s="20"/>
      <c r="L11" s="20"/>
      <c r="M11" s="21"/>
      <c r="N11" s="20"/>
      <c r="O11" s="20"/>
      <c r="P11" s="20"/>
      <c r="Q11" s="20"/>
      <c r="R11" s="20"/>
      <c r="S11" s="20"/>
      <c r="T11" s="20"/>
      <c r="U11" s="20"/>
      <c r="V11" s="20"/>
      <c r="W11" s="20"/>
      <c r="X11" s="20"/>
      <c r="Y11" s="20"/>
      <c r="Z11" s="20"/>
    </row>
    <row r="12" customFormat="false" ht="30" hidden="false" customHeight="true" outlineLevel="0" collapsed="false">
      <c r="A12" s="12"/>
      <c r="B12" s="22" t="s">
        <v>15</v>
      </c>
      <c r="C12" s="22"/>
      <c r="D12" s="23" t="n">
        <f aca="false">COUNTIF('ISO27k Gap Analysis Questions'!I144:I181, "1")</f>
        <v>2</v>
      </c>
      <c r="E12" s="24" t="n">
        <f aca="false">COUNTIF('ISO27k Gap Analysis Questions'!J144:J181, "1")</f>
        <v>18</v>
      </c>
      <c r="F12" s="25" t="n">
        <f aca="false">COUNTIF('ISO27k Gap Analysis Questions'!K144:K181, "1")</f>
        <v>9</v>
      </c>
      <c r="G12" s="26" t="n">
        <f aca="false">COUNTIF('ISO27k Gap Analysis Questions'!L144:L181, "1")</f>
        <v>9</v>
      </c>
      <c r="H12" s="27" t="n">
        <f aca="false">COUNTIF('ISO27k Gap Analysis Questions'!M144:M181, "1")</f>
        <v>0</v>
      </c>
      <c r="I12" s="12"/>
      <c r="J12" s="12"/>
      <c r="K12" s="20"/>
      <c r="L12" s="20"/>
      <c r="M12" s="21"/>
      <c r="N12" s="20"/>
      <c r="O12" s="20"/>
      <c r="P12" s="20"/>
      <c r="Q12" s="20"/>
      <c r="R12" s="20"/>
      <c r="S12" s="20"/>
      <c r="T12" s="20"/>
      <c r="U12" s="20"/>
      <c r="V12" s="20"/>
      <c r="W12" s="20"/>
      <c r="X12" s="20"/>
      <c r="Y12" s="20"/>
      <c r="Z12" s="20"/>
    </row>
    <row r="14" customFormat="false" ht="30" hidden="false" customHeight="true" outlineLevel="0" collapsed="false">
      <c r="C14" s="30" t="s">
        <v>16</v>
      </c>
      <c r="D14" s="30"/>
      <c r="E14" s="30"/>
      <c r="F14" s="30"/>
      <c r="G14" s="30"/>
      <c r="H14" s="30"/>
    </row>
    <row r="15" customFormat="false" ht="30" hidden="false" customHeight="true" outlineLevel="0" collapsed="false">
      <c r="B15" s="31" t="s">
        <v>17</v>
      </c>
      <c r="C15" s="31"/>
      <c r="D15" s="31"/>
      <c r="E15" s="31"/>
      <c r="F15" s="31"/>
      <c r="G15" s="31"/>
      <c r="H15" s="31"/>
    </row>
    <row r="16" customFormat="false" ht="13.5" hidden="false" customHeight="true" outlineLevel="0" collapsed="false">
      <c r="B16" s="31"/>
      <c r="C16" s="31"/>
      <c r="D16" s="31"/>
      <c r="E16" s="31"/>
      <c r="F16" s="31"/>
      <c r="G16" s="31"/>
      <c r="H16" s="31"/>
    </row>
    <row r="17" customFormat="false" ht="30" hidden="false" customHeight="true" outlineLevel="0" collapsed="false">
      <c r="B17" s="32" t="s">
        <v>10</v>
      </c>
      <c r="C17" s="32"/>
      <c r="D17" s="33" t="n">
        <f aca="false">COUNTIF(Clarification!F6:F39, "1")</f>
        <v>0</v>
      </c>
      <c r="E17" s="34" t="str">
        <f aca="false">IF(AND(H7&gt;0,D17&lt;H7),"You have requested clarification on ISO/IEC 27001 Clause questions but have not yet entered them all in the Clarification worksheet.","")</f>
        <v/>
      </c>
      <c r="F17" s="34"/>
      <c r="G17" s="34"/>
      <c r="H17" s="34"/>
    </row>
    <row r="18" customFormat="false" ht="30" hidden="false" customHeight="true" outlineLevel="0" collapsed="false">
      <c r="B18" s="35" t="s">
        <v>18</v>
      </c>
      <c r="C18" s="35"/>
      <c r="D18" s="35"/>
      <c r="E18" s="36"/>
      <c r="F18" s="36"/>
      <c r="G18" s="36"/>
      <c r="H18" s="36"/>
    </row>
    <row r="19" customFormat="false" ht="30" hidden="false" customHeight="true" outlineLevel="0" collapsed="false">
      <c r="B19" s="37" t="s">
        <v>12</v>
      </c>
      <c r="C19" s="37"/>
      <c r="D19" s="33" t="n">
        <f aca="false">COUNTIF(Clarification!F42:F107, "1")</f>
        <v>0</v>
      </c>
      <c r="E19" s="34" t="str">
        <f aca="false">IF(AND(H9&gt;0,D19&lt;H9),"You have requested clarification on ISO/IEC 27001 Organizational Control questions but have not yet entered them all in the Clarification worksheet.","")</f>
        <v/>
      </c>
      <c r="F19" s="34"/>
      <c r="G19" s="34"/>
      <c r="H19" s="34"/>
    </row>
    <row r="20" customFormat="false" ht="30" hidden="false" customHeight="true" outlineLevel="0" collapsed="false">
      <c r="B20" s="37" t="s">
        <v>13</v>
      </c>
      <c r="C20" s="37"/>
      <c r="D20" s="33" t="n">
        <f aca="false">COUNTIF(Clarification!F109:F123, "1")</f>
        <v>0</v>
      </c>
      <c r="E20" s="34" t="str">
        <f aca="false">IF(AND(H10&gt;0,D20&lt;H10),"You have requested clarification on ISO/IEC 27001 People Control questions but have not yet entered them all in the Clarification worksheet.","")</f>
        <v/>
      </c>
      <c r="F20" s="34"/>
      <c r="G20" s="34"/>
      <c r="H20" s="34"/>
    </row>
    <row r="21" customFormat="false" ht="30" hidden="false" customHeight="true" outlineLevel="0" collapsed="false">
      <c r="B21" s="37" t="s">
        <v>14</v>
      </c>
      <c r="C21" s="37"/>
      <c r="D21" s="33" t="n">
        <f aca="false">COUNTIF(Clarification!F125:F138, "1")</f>
        <v>0</v>
      </c>
      <c r="E21" s="34" t="str">
        <f aca="false">IF(AND(H11&gt;0,D21&lt;H11),"You have requested clarification on ISO/IEC 27001 Physical Control questions but have not yet entered them all in the Clarification worksheet.","")</f>
        <v/>
      </c>
      <c r="F21" s="34"/>
      <c r="G21" s="34"/>
      <c r="H21" s="34"/>
    </row>
    <row r="22" customFormat="false" ht="30" hidden="false" customHeight="true" outlineLevel="0" collapsed="false">
      <c r="B22" s="37" t="s">
        <v>15</v>
      </c>
      <c r="C22" s="37"/>
      <c r="D22" s="33" t="n">
        <f aca="false">COUNTIF(Clarification!F140:F177, "1")</f>
        <v>0</v>
      </c>
      <c r="E22" s="34" t="str">
        <f aca="false">IF(AND(H12&gt;0,D22&lt;H12),"You have requested clarification on ISO/IEC 27001 Technological Control questions but have not yet entered them all in the Clarification worksheet.","")</f>
        <v/>
      </c>
      <c r="F22" s="34"/>
      <c r="G22" s="34"/>
      <c r="H22" s="34"/>
    </row>
    <row r="23" customFormat="false" ht="15.75" hidden="false" customHeight="true" outlineLevel="0" collapsed="false"/>
    <row r="24" customFormat="false" ht="15.75" hidden="false" customHeight="true" outlineLevel="0" collapsed="false">
      <c r="E24" s="38" t="s">
        <v>19</v>
      </c>
      <c r="F24" s="38"/>
      <c r="G24" s="38"/>
      <c r="H24" s="38"/>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3">
    <mergeCell ref="B2:H2"/>
    <mergeCell ref="B4:H4"/>
    <mergeCell ref="B7:C7"/>
    <mergeCell ref="B8:C8"/>
    <mergeCell ref="D8:H8"/>
    <mergeCell ref="B9:C9"/>
    <mergeCell ref="B10:C10"/>
    <mergeCell ref="B11:C11"/>
    <mergeCell ref="B12:C12"/>
    <mergeCell ref="C14:H14"/>
    <mergeCell ref="B15:H16"/>
    <mergeCell ref="B17:C17"/>
    <mergeCell ref="E17:H17"/>
    <mergeCell ref="B18:D18"/>
    <mergeCell ref="B19:C19"/>
    <mergeCell ref="E19:H19"/>
    <mergeCell ref="B20:C20"/>
    <mergeCell ref="E20:H20"/>
    <mergeCell ref="B21:C21"/>
    <mergeCell ref="E21:H21"/>
    <mergeCell ref="B22:C22"/>
    <mergeCell ref="E22:H22"/>
    <mergeCell ref="E24:H24"/>
  </mergeCells>
  <printOptions headings="false" gridLines="false" gridLinesSet="true" horizontalCentered="false" verticalCentered="false"/>
  <pageMargins left="0.7" right="0.7" top="1.14375" bottom="1.14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31"/>
    <col collapsed="false" customWidth="true" hidden="false" outlineLevel="0" max="2" min="2" style="1" width="10.22"/>
    <col collapsed="false" customWidth="true" hidden="false" outlineLevel="0" max="3" min="3" style="1" width="50.18"/>
    <col collapsed="false" customWidth="true" hidden="false" outlineLevel="0" max="7" min="4" style="1" width="27.84"/>
    <col collapsed="false" customWidth="true" hidden="false" outlineLevel="0" max="8" min="8" style="1" width="47.89"/>
    <col collapsed="false" customWidth="true" hidden="true" outlineLevel="0" max="9" min="9" style="1" width="8.61"/>
    <col collapsed="false" customWidth="true" hidden="true" outlineLevel="0" max="10" min="10" style="1" width="10.22"/>
    <col collapsed="false" customWidth="true" hidden="true" outlineLevel="0" max="12" min="11" style="1" width="8.61"/>
    <col collapsed="false" customWidth="true" hidden="true" outlineLevel="0" max="13" min="13" style="1" width="11.03"/>
    <col collapsed="false" customWidth="true" hidden="false" outlineLevel="0" max="26" min="14" style="1" width="8.61"/>
    <col collapsed="false" customWidth="true" hidden="false" outlineLevel="0" max="1024" min="27" style="1" width="12.24"/>
  </cols>
  <sheetData>
    <row r="1" customFormat="false" ht="49.5" hidden="false" customHeight="true" outlineLevel="0" collapsed="false">
      <c r="A1" s="3"/>
      <c r="B1" s="10" t="s">
        <v>20</v>
      </c>
      <c r="C1" s="10"/>
      <c r="D1" s="10"/>
      <c r="E1" s="10"/>
      <c r="F1" s="10"/>
      <c r="G1" s="10"/>
      <c r="H1" s="10"/>
      <c r="I1" s="7"/>
      <c r="J1" s="5"/>
      <c r="K1" s="7"/>
      <c r="L1" s="7"/>
      <c r="M1" s="7"/>
      <c r="N1" s="7"/>
      <c r="O1" s="5"/>
      <c r="P1" s="5"/>
      <c r="Q1" s="5"/>
      <c r="R1" s="5"/>
      <c r="S1" s="5"/>
      <c r="T1" s="5"/>
      <c r="U1" s="5"/>
      <c r="V1" s="5"/>
      <c r="W1" s="5"/>
      <c r="X1" s="5"/>
      <c r="Y1" s="5"/>
      <c r="Z1" s="5"/>
    </row>
    <row r="2" customFormat="false" ht="15" hidden="false" customHeight="true" outlineLevel="0" collapsed="false">
      <c r="A2" s="39"/>
      <c r="B2" s="40"/>
      <c r="C2" s="40"/>
      <c r="D2" s="40"/>
      <c r="E2" s="41"/>
      <c r="F2" s="41"/>
      <c r="G2" s="41"/>
      <c r="H2" s="5"/>
      <c r="I2" s="42"/>
      <c r="J2" s="42"/>
      <c r="K2" s="5"/>
      <c r="L2" s="5"/>
      <c r="M2" s="5"/>
      <c r="N2" s="5"/>
      <c r="O2" s="5"/>
      <c r="P2" s="5"/>
      <c r="Q2" s="5"/>
      <c r="R2" s="5"/>
      <c r="S2" s="5"/>
      <c r="T2" s="5"/>
      <c r="U2" s="5"/>
      <c r="V2" s="5"/>
      <c r="W2" s="5"/>
      <c r="X2" s="5"/>
      <c r="Y2" s="5"/>
      <c r="Z2" s="5"/>
    </row>
    <row r="3" customFormat="false" ht="60" hidden="false" customHeight="true" outlineLevel="0" collapsed="false">
      <c r="A3" s="13"/>
      <c r="B3" s="43" t="str">
        <f aca="false">"There are "&amp;COUNT(A10:A43)&amp;" ISO/IEC 27001:2022 Clauses questions, plus "&amp;COUNT(A46:A181)&amp;" ISO/IEC 27001:2022 Annex A questions across the 4 security control domains. 
So far, you've answered "&amp;COUNTIF(I10:I43,"1")&amp;" ISO/IEC 27001:2022 Clause questions as Yes, "&amp;COUNTIF(J10:J43,"1")&amp;" as No, "&amp;COUNTIF(K10:K43,"1")&amp;" as Not Applicable, referred "&amp;COUNTIF(L10:L43,"1")&amp;" question(s) to comments, and asked for clarification on "&amp;COUNTIF(M10:M43,"1")&amp;" question(s).
So far, you've answered "&amp;COUNTIF(I46:I181,"1")&amp;" ISO/IEC 27001:2022 Annex A questions as Yes, "&amp;COUNTIF(J46:J181,"1")&amp;" as No, "&amp;COUNTIF(K46:K181,"1")&amp;" as Not Applicable, referred "&amp;COUNTIF(L46:L181,"1")&amp;" question(s) to comments, and asked for clarification on "&amp;COUNTIF(M46:M181,"1")&amp;" question(s)."</f>
        <v>There are 28 ISO/IEC 27001:2022 Clauses questions, plus 133 ISO/IEC 27001:2022 Annex A questions across the 4 security control domains. 
So far, you've answered 0 ISO/IEC 27001:2022 Clause questions as Yes, 22 as No, 0 as Not Applicable, referred 6 question(s) to comments, and asked for clarification on 0 question(s).
So far, you've answered 16 ISO/IEC 27001:2022 Annex A questions as Yes, 78 as No, 9 as Not Applicable, referred 30 question(s) to comments, and asked for clarification on 0 question(s).</v>
      </c>
      <c r="C3" s="43"/>
      <c r="D3" s="43"/>
      <c r="E3" s="43"/>
      <c r="F3" s="43"/>
      <c r="G3" s="43"/>
      <c r="H3" s="43"/>
      <c r="I3" s="12"/>
      <c r="J3" s="12"/>
      <c r="K3" s="20"/>
      <c r="L3" s="20"/>
      <c r="M3" s="20"/>
      <c r="N3" s="20"/>
      <c r="O3" s="20"/>
      <c r="P3" s="20"/>
      <c r="Q3" s="20"/>
      <c r="R3" s="20"/>
      <c r="S3" s="20"/>
      <c r="T3" s="20"/>
      <c r="U3" s="20"/>
      <c r="V3" s="20"/>
      <c r="W3" s="20"/>
      <c r="X3" s="20"/>
      <c r="Y3" s="20"/>
      <c r="Z3" s="20"/>
    </row>
    <row r="4" customFormat="false" ht="15" hidden="false" customHeight="true" outlineLevel="0" collapsed="false">
      <c r="A4" s="13"/>
      <c r="B4" s="44"/>
      <c r="C4" s="44"/>
      <c r="D4" s="44"/>
      <c r="E4" s="44"/>
      <c r="F4" s="44"/>
      <c r="G4" s="44"/>
      <c r="H4" s="44"/>
      <c r="I4" s="12"/>
      <c r="J4" s="12"/>
      <c r="K4" s="20"/>
      <c r="L4" s="20"/>
      <c r="M4" s="20"/>
      <c r="N4" s="20"/>
      <c r="O4" s="20"/>
      <c r="P4" s="20"/>
      <c r="Q4" s="20"/>
      <c r="R4" s="20"/>
      <c r="S4" s="20"/>
      <c r="T4" s="20"/>
      <c r="U4" s="20"/>
      <c r="V4" s="20"/>
      <c r="W4" s="20"/>
      <c r="X4" s="20"/>
      <c r="Y4" s="20"/>
      <c r="Z4" s="20"/>
    </row>
    <row r="5" customFormat="false" ht="15" hidden="false" customHeight="true" outlineLevel="0" collapsed="false">
      <c r="A5" s="13"/>
      <c r="B5" s="45" t="s">
        <v>21</v>
      </c>
      <c r="C5" s="45"/>
      <c r="D5" s="45" t="s">
        <v>22</v>
      </c>
      <c r="E5" s="45"/>
      <c r="F5" s="45"/>
      <c r="G5" s="45"/>
      <c r="H5" s="45"/>
      <c r="I5" s="12"/>
      <c r="J5" s="12"/>
      <c r="K5" s="20"/>
      <c r="L5" s="20"/>
      <c r="M5" s="20"/>
      <c r="N5" s="20"/>
      <c r="O5" s="20"/>
      <c r="P5" s="20"/>
      <c r="Q5" s="20"/>
      <c r="R5" s="20"/>
      <c r="S5" s="20"/>
      <c r="T5" s="20"/>
      <c r="U5" s="20"/>
      <c r="V5" s="20"/>
      <c r="W5" s="20"/>
      <c r="X5" s="20"/>
      <c r="Y5" s="20"/>
      <c r="Z5" s="20"/>
    </row>
    <row r="6" customFormat="false" ht="15" hidden="false" customHeight="true" outlineLevel="0" collapsed="false">
      <c r="A6" s="39"/>
      <c r="B6" s="40"/>
      <c r="C6" s="40"/>
      <c r="D6" s="40"/>
      <c r="E6" s="41"/>
      <c r="F6" s="41"/>
      <c r="G6" s="41"/>
      <c r="H6" s="5"/>
      <c r="I6" s="42"/>
      <c r="J6" s="42"/>
      <c r="K6" s="5"/>
      <c r="L6" s="5"/>
      <c r="M6" s="5"/>
      <c r="N6" s="5"/>
      <c r="O6" s="5"/>
      <c r="P6" s="5"/>
      <c r="Q6" s="5"/>
      <c r="R6" s="5"/>
      <c r="S6" s="5"/>
      <c r="T6" s="5"/>
      <c r="U6" s="5"/>
      <c r="V6" s="5"/>
      <c r="W6" s="5"/>
      <c r="X6" s="5"/>
      <c r="Y6" s="5"/>
      <c r="Z6" s="5"/>
    </row>
    <row r="7" customFormat="false" ht="34.5" hidden="false" customHeight="true" outlineLevel="0" collapsed="false">
      <c r="A7" s="39"/>
      <c r="B7" s="46" t="s">
        <v>23</v>
      </c>
      <c r="C7" s="46" t="s">
        <v>24</v>
      </c>
      <c r="D7" s="46" t="s">
        <v>25</v>
      </c>
      <c r="E7" s="46" t="s">
        <v>26</v>
      </c>
      <c r="F7" s="46" t="s">
        <v>27</v>
      </c>
      <c r="G7" s="46" t="s">
        <v>28</v>
      </c>
      <c r="H7" s="46" t="s">
        <v>29</v>
      </c>
      <c r="I7" s="47" t="s">
        <v>30</v>
      </c>
      <c r="J7" s="47"/>
      <c r="K7" s="47"/>
      <c r="L7" s="47"/>
      <c r="M7" s="48"/>
      <c r="N7" s="5"/>
      <c r="O7" s="5"/>
      <c r="P7" s="5"/>
      <c r="Q7" s="5"/>
      <c r="R7" s="5"/>
      <c r="S7" s="5"/>
      <c r="T7" s="5"/>
      <c r="U7" s="5"/>
      <c r="V7" s="5"/>
      <c r="W7" s="5"/>
      <c r="X7" s="5"/>
      <c r="Y7" s="5"/>
      <c r="Z7" s="5"/>
    </row>
    <row r="8" customFormat="false" ht="30" hidden="false" customHeight="true" outlineLevel="0" collapsed="false">
      <c r="A8" s="39"/>
      <c r="B8" s="49" t="s">
        <v>21</v>
      </c>
      <c r="C8" s="49"/>
      <c r="D8" s="49"/>
      <c r="E8" s="49"/>
      <c r="F8" s="49"/>
      <c r="G8" s="49"/>
      <c r="H8" s="49"/>
      <c r="I8" s="50"/>
      <c r="J8" s="50"/>
      <c r="K8" s="51"/>
      <c r="L8" s="51"/>
      <c r="M8" s="51"/>
      <c r="N8" s="51"/>
      <c r="O8" s="5"/>
      <c r="P8" s="5"/>
      <c r="Q8" s="5"/>
      <c r="R8" s="5"/>
      <c r="S8" s="5"/>
      <c r="T8" s="5"/>
      <c r="U8" s="5"/>
      <c r="V8" s="5"/>
      <c r="W8" s="5"/>
      <c r="X8" s="5"/>
      <c r="Y8" s="5"/>
      <c r="Z8" s="5"/>
    </row>
    <row r="9" customFormat="false" ht="39.75" hidden="false" customHeight="true" outlineLevel="0" collapsed="false">
      <c r="A9" s="39"/>
      <c r="B9" s="52" t="s">
        <v>31</v>
      </c>
      <c r="C9" s="52"/>
      <c r="D9" s="53" t="s">
        <v>32</v>
      </c>
      <c r="E9" s="53" t="s">
        <v>33</v>
      </c>
      <c r="F9" s="53" t="s">
        <v>34</v>
      </c>
      <c r="G9" s="53" t="s">
        <v>35</v>
      </c>
      <c r="H9" s="53" t="s">
        <v>36</v>
      </c>
      <c r="I9" s="50" t="s">
        <v>5</v>
      </c>
      <c r="J9" s="50" t="s">
        <v>6</v>
      </c>
      <c r="K9" s="51" t="s">
        <v>37</v>
      </c>
      <c r="L9" s="51" t="s">
        <v>8</v>
      </c>
      <c r="M9" s="51" t="s">
        <v>9</v>
      </c>
      <c r="N9" s="51"/>
      <c r="O9" s="5"/>
      <c r="P9" s="5"/>
      <c r="Q9" s="5"/>
      <c r="R9" s="5"/>
      <c r="S9" s="5"/>
      <c r="T9" s="5"/>
      <c r="U9" s="5"/>
      <c r="V9" s="5"/>
      <c r="W9" s="5"/>
      <c r="X9" s="5"/>
      <c r="Y9" s="5"/>
      <c r="Z9" s="5"/>
    </row>
    <row r="10" customFormat="false" ht="13.5" hidden="false" customHeight="true" outlineLevel="0" collapsed="false">
      <c r="A10" s="39" t="n">
        <v>1</v>
      </c>
      <c r="B10" s="54" t="s">
        <v>38</v>
      </c>
      <c r="C10" s="54" t="s">
        <v>39</v>
      </c>
      <c r="D10" s="54" t="s">
        <v>6</v>
      </c>
      <c r="E10" s="55"/>
      <c r="F10" s="55"/>
      <c r="G10" s="55"/>
      <c r="H10" s="55" t="s">
        <v>40</v>
      </c>
      <c r="I10" s="42" t="str">
        <f aca="false">IF($D10="Yes", 1, "")</f>
        <v/>
      </c>
      <c r="J10" s="42" t="n">
        <f aca="false">IF($D10="No", 1, "")</f>
        <v>1</v>
      </c>
      <c r="K10" s="42" t="str">
        <f aca="false">IF($D10="Not Applicable", 1, "")</f>
        <v/>
      </c>
      <c r="L10" s="42" t="str">
        <f aca="false">IF($D10="Refer to comments", 1, "")</f>
        <v/>
      </c>
      <c r="M10" s="42" t="str">
        <f aca="false">IF($D10="Clarification required", 1, "")</f>
        <v/>
      </c>
      <c r="N10" s="5"/>
      <c r="O10" s="5"/>
      <c r="P10" s="5"/>
      <c r="Q10" s="5"/>
      <c r="R10" s="5"/>
      <c r="S10" s="5"/>
      <c r="T10" s="5"/>
      <c r="U10" s="5"/>
      <c r="V10" s="5"/>
      <c r="W10" s="5"/>
      <c r="X10" s="5"/>
      <c r="Y10" s="5"/>
      <c r="Z10" s="5"/>
    </row>
    <row r="11" customFormat="false" ht="13.5" hidden="false" customHeight="true" outlineLevel="0" collapsed="false">
      <c r="A11" s="39" t="n">
        <v>1</v>
      </c>
      <c r="B11" s="56" t="s">
        <v>41</v>
      </c>
      <c r="C11" s="56" t="s">
        <v>42</v>
      </c>
      <c r="D11" s="56" t="s">
        <v>6</v>
      </c>
      <c r="E11" s="57"/>
      <c r="F11" s="57"/>
      <c r="G11" s="57"/>
      <c r="H11" s="57" t="s">
        <v>43</v>
      </c>
      <c r="I11" s="42" t="str">
        <f aca="false">IF($D11="Yes", 1, "")</f>
        <v/>
      </c>
      <c r="J11" s="42" t="n">
        <f aca="false">IF($D11="No", 1, "")</f>
        <v>1</v>
      </c>
      <c r="K11" s="42" t="str">
        <f aca="false">IF($D11="Not Applicable", 1, "")</f>
        <v/>
      </c>
      <c r="L11" s="42" t="str">
        <f aca="false">IF($D11="Refer to comments", 1, "")</f>
        <v/>
      </c>
      <c r="M11" s="42" t="str">
        <f aca="false">IF($D11="Clarification required", 1, "")</f>
        <v/>
      </c>
      <c r="N11" s="5"/>
      <c r="O11" s="5"/>
      <c r="P11" s="5"/>
      <c r="Q11" s="5"/>
      <c r="R11" s="5"/>
      <c r="S11" s="5"/>
      <c r="T11" s="5"/>
      <c r="U11" s="5"/>
      <c r="V11" s="5"/>
      <c r="W11" s="5"/>
      <c r="X11" s="5"/>
      <c r="Y11" s="5"/>
      <c r="Z11" s="5"/>
    </row>
    <row r="12" customFormat="false" ht="13.5" hidden="false" customHeight="true" outlineLevel="0" collapsed="false">
      <c r="A12" s="39" t="n">
        <v>1</v>
      </c>
      <c r="B12" s="56" t="s">
        <v>44</v>
      </c>
      <c r="C12" s="56" t="s">
        <v>45</v>
      </c>
      <c r="D12" s="56" t="s">
        <v>6</v>
      </c>
      <c r="E12" s="57"/>
      <c r="F12" s="57"/>
      <c r="G12" s="57"/>
      <c r="H12" s="57" t="s">
        <v>46</v>
      </c>
      <c r="I12" s="42" t="str">
        <f aca="false">IF($D12="Yes", 1, "")</f>
        <v/>
      </c>
      <c r="J12" s="42" t="n">
        <f aca="false">IF($D12="No", 1, "")</f>
        <v>1</v>
      </c>
      <c r="K12" s="42" t="str">
        <f aca="false">IF($D12="Not Applicable", 1, "")</f>
        <v/>
      </c>
      <c r="L12" s="42" t="str">
        <f aca="false">IF($D12="Refer to comments", 1, "")</f>
        <v/>
      </c>
      <c r="M12" s="42" t="str">
        <f aca="false">IF($D12="Clarification required", 1, "")</f>
        <v/>
      </c>
      <c r="N12" s="5"/>
      <c r="O12" s="5"/>
      <c r="P12" s="5"/>
      <c r="Q12" s="5"/>
      <c r="R12" s="5"/>
      <c r="S12" s="5"/>
      <c r="T12" s="5"/>
      <c r="U12" s="5"/>
      <c r="V12" s="5"/>
      <c r="W12" s="5"/>
      <c r="X12" s="5"/>
      <c r="Y12" s="5"/>
      <c r="Z12" s="5"/>
    </row>
    <row r="13" customFormat="false" ht="13.5" hidden="false" customHeight="true" outlineLevel="0" collapsed="false">
      <c r="A13" s="39" t="n">
        <v>1</v>
      </c>
      <c r="B13" s="56" t="s">
        <v>47</v>
      </c>
      <c r="C13" s="56" t="s">
        <v>48</v>
      </c>
      <c r="D13" s="56" t="s">
        <v>6</v>
      </c>
      <c r="E13" s="57"/>
      <c r="F13" s="57"/>
      <c r="G13" s="57"/>
      <c r="H13" s="57" t="s">
        <v>49</v>
      </c>
      <c r="I13" s="42" t="str">
        <f aca="false">IF($D13="Yes", 1, "")</f>
        <v/>
      </c>
      <c r="J13" s="42" t="n">
        <f aca="false">IF($D13="No", 1, "")</f>
        <v>1</v>
      </c>
      <c r="K13" s="42" t="str">
        <f aca="false">IF($D13="Not Applicable", 1, "")</f>
        <v/>
      </c>
      <c r="L13" s="42" t="str">
        <f aca="false">IF($D13="Refer to comments", 1, "")</f>
        <v/>
      </c>
      <c r="M13" s="42" t="str">
        <f aca="false">IF($D13="Clarification required", 1, "")</f>
        <v/>
      </c>
      <c r="N13" s="5"/>
      <c r="O13" s="5"/>
      <c r="P13" s="5"/>
      <c r="Q13" s="5"/>
      <c r="R13" s="5"/>
      <c r="S13" s="5"/>
      <c r="T13" s="5"/>
      <c r="U13" s="5"/>
      <c r="V13" s="5"/>
      <c r="W13" s="5"/>
      <c r="X13" s="5"/>
      <c r="Y13" s="5"/>
      <c r="Z13" s="5"/>
    </row>
    <row r="14" customFormat="false" ht="39.75" hidden="false" customHeight="true" outlineLevel="0" collapsed="false">
      <c r="A14" s="39"/>
      <c r="B14" s="58" t="s">
        <v>50</v>
      </c>
      <c r="C14" s="58"/>
      <c r="D14" s="59" t="s">
        <v>32</v>
      </c>
      <c r="E14" s="53" t="s">
        <v>33</v>
      </c>
      <c r="F14" s="53" t="s">
        <v>34</v>
      </c>
      <c r="G14" s="53" t="s">
        <v>35</v>
      </c>
      <c r="H14" s="59" t="s">
        <v>36</v>
      </c>
      <c r="I14" s="50" t="s">
        <v>5</v>
      </c>
      <c r="J14" s="50" t="s">
        <v>6</v>
      </c>
      <c r="K14" s="51" t="s">
        <v>37</v>
      </c>
      <c r="L14" s="51" t="s">
        <v>8</v>
      </c>
      <c r="M14" s="51" t="s">
        <v>9</v>
      </c>
      <c r="N14" s="51"/>
      <c r="O14" s="5"/>
      <c r="P14" s="5"/>
      <c r="Q14" s="5"/>
      <c r="R14" s="5"/>
      <c r="S14" s="5"/>
      <c r="T14" s="5"/>
      <c r="U14" s="5"/>
      <c r="V14" s="5"/>
      <c r="W14" s="5"/>
      <c r="X14" s="5"/>
      <c r="Y14" s="5"/>
      <c r="Z14" s="5"/>
    </row>
    <row r="15" customFormat="false" ht="13.5" hidden="false" customHeight="true" outlineLevel="0" collapsed="false">
      <c r="A15" s="39" t="n">
        <v>1</v>
      </c>
      <c r="B15" s="56" t="s">
        <v>51</v>
      </c>
      <c r="C15" s="56" t="s">
        <v>52</v>
      </c>
      <c r="D15" s="56" t="s">
        <v>8</v>
      </c>
      <c r="E15" s="57"/>
      <c r="F15" s="57"/>
      <c r="G15" s="57"/>
      <c r="H15" s="57" t="s">
        <v>53</v>
      </c>
      <c r="I15" s="42" t="str">
        <f aca="false">IF($D15="Yes", 1, "")</f>
        <v/>
      </c>
      <c r="J15" s="42" t="str">
        <f aca="false">IF($D15="No", 1, "")</f>
        <v/>
      </c>
      <c r="K15" s="42" t="str">
        <f aca="false">IF($D15="Not Applicable", 1, "")</f>
        <v/>
      </c>
      <c r="L15" s="42" t="n">
        <f aca="false">IF($D15="Refer to comments", 1, "")</f>
        <v>1</v>
      </c>
      <c r="M15" s="42" t="str">
        <f aca="false">IF($D15="Clarification required", 1, "")</f>
        <v/>
      </c>
      <c r="N15" s="5"/>
      <c r="O15" s="5"/>
      <c r="P15" s="5"/>
      <c r="Q15" s="5"/>
      <c r="R15" s="5"/>
      <c r="S15" s="5"/>
      <c r="T15" s="5"/>
      <c r="U15" s="5"/>
      <c r="V15" s="5"/>
      <c r="W15" s="5"/>
      <c r="X15" s="5"/>
      <c r="Y15" s="5"/>
      <c r="Z15" s="5"/>
    </row>
    <row r="16" customFormat="false" ht="13.5" hidden="false" customHeight="true" outlineLevel="0" collapsed="false">
      <c r="A16" s="39" t="n">
        <v>1</v>
      </c>
      <c r="B16" s="56" t="s">
        <v>54</v>
      </c>
      <c r="C16" s="56" t="s">
        <v>55</v>
      </c>
      <c r="D16" s="56" t="s">
        <v>6</v>
      </c>
      <c r="E16" s="57"/>
      <c r="F16" s="57"/>
      <c r="G16" s="57"/>
      <c r="H16" s="57" t="s">
        <v>56</v>
      </c>
      <c r="I16" s="42" t="str">
        <f aca="false">IF($D16="Yes", 1, "")</f>
        <v/>
      </c>
      <c r="J16" s="42" t="n">
        <f aca="false">IF($D16="No", 1, "")</f>
        <v>1</v>
      </c>
      <c r="K16" s="42" t="str">
        <f aca="false">IF($D16="Not Applicable", 1, "")</f>
        <v/>
      </c>
      <c r="L16" s="42" t="str">
        <f aca="false">IF($D16="Refer to comments", 1, "")</f>
        <v/>
      </c>
      <c r="M16" s="42" t="str">
        <f aca="false">IF($D16="Clarification required", 1, "")</f>
        <v/>
      </c>
      <c r="N16" s="5"/>
      <c r="O16" s="5"/>
      <c r="P16" s="5"/>
      <c r="Q16" s="5"/>
      <c r="R16" s="5"/>
      <c r="S16" s="5"/>
      <c r="T16" s="5"/>
      <c r="U16" s="5"/>
      <c r="V16" s="5"/>
      <c r="W16" s="5"/>
      <c r="X16" s="5"/>
      <c r="Y16" s="5"/>
      <c r="Z16" s="5"/>
    </row>
    <row r="17" customFormat="false" ht="13.5" hidden="false" customHeight="true" outlineLevel="0" collapsed="false">
      <c r="A17" s="39" t="n">
        <v>1</v>
      </c>
      <c r="B17" s="56" t="s">
        <v>57</v>
      </c>
      <c r="C17" s="56" t="s">
        <v>58</v>
      </c>
      <c r="D17" s="56" t="s">
        <v>8</v>
      </c>
      <c r="E17" s="57"/>
      <c r="F17" s="57"/>
      <c r="G17" s="57"/>
      <c r="H17" s="57" t="s">
        <v>59</v>
      </c>
      <c r="I17" s="42" t="str">
        <f aca="false">IF($D17="Yes", 1, "")</f>
        <v/>
      </c>
      <c r="J17" s="42" t="str">
        <f aca="false">IF($D17="No", 1, "")</f>
        <v/>
      </c>
      <c r="K17" s="42" t="str">
        <f aca="false">IF($D17="Not Applicable", 1, "")</f>
        <v/>
      </c>
      <c r="L17" s="42" t="n">
        <f aca="false">IF($D17="Refer to comments", 1, "")</f>
        <v>1</v>
      </c>
      <c r="M17" s="42" t="str">
        <f aca="false">IF($D17="Clarification required", 1, "")</f>
        <v/>
      </c>
      <c r="N17" s="5"/>
      <c r="O17" s="5"/>
      <c r="P17" s="5"/>
      <c r="Q17" s="5"/>
      <c r="R17" s="5"/>
      <c r="S17" s="5"/>
      <c r="T17" s="5"/>
      <c r="U17" s="5"/>
      <c r="V17" s="5"/>
      <c r="W17" s="5"/>
      <c r="X17" s="5"/>
      <c r="Y17" s="5"/>
      <c r="Z17" s="5"/>
    </row>
    <row r="18" customFormat="false" ht="39.75" hidden="false" customHeight="true" outlineLevel="0" collapsed="false">
      <c r="A18" s="39"/>
      <c r="B18" s="58" t="s">
        <v>60</v>
      </c>
      <c r="C18" s="58"/>
      <c r="D18" s="59" t="s">
        <v>32</v>
      </c>
      <c r="E18" s="53" t="s">
        <v>33</v>
      </c>
      <c r="F18" s="53" t="s">
        <v>34</v>
      </c>
      <c r="G18" s="53" t="s">
        <v>35</v>
      </c>
      <c r="H18" s="59" t="s">
        <v>36</v>
      </c>
      <c r="I18" s="50" t="s">
        <v>5</v>
      </c>
      <c r="J18" s="50" t="s">
        <v>6</v>
      </c>
      <c r="K18" s="51" t="s">
        <v>37</v>
      </c>
      <c r="L18" s="51" t="s">
        <v>8</v>
      </c>
      <c r="M18" s="51" t="s">
        <v>9</v>
      </c>
      <c r="N18" s="51"/>
      <c r="O18" s="5"/>
      <c r="P18" s="5"/>
      <c r="Q18" s="5"/>
      <c r="R18" s="5"/>
      <c r="S18" s="5"/>
      <c r="T18" s="5"/>
      <c r="U18" s="5"/>
      <c r="V18" s="5"/>
      <c r="W18" s="5"/>
      <c r="X18" s="5"/>
      <c r="Y18" s="5"/>
      <c r="Z18" s="5"/>
    </row>
    <row r="19" customFormat="false" ht="13.5" hidden="false" customHeight="true" outlineLevel="0" collapsed="false">
      <c r="A19" s="39" t="n">
        <v>1</v>
      </c>
      <c r="B19" s="56" t="s">
        <v>61</v>
      </c>
      <c r="C19" s="56" t="s">
        <v>62</v>
      </c>
      <c r="D19" s="56" t="s">
        <v>6</v>
      </c>
      <c r="E19" s="57"/>
      <c r="F19" s="57"/>
      <c r="G19" s="57"/>
      <c r="H19" s="57" t="s">
        <v>63</v>
      </c>
      <c r="I19" s="42" t="str">
        <f aca="false">IF($D19="Yes", 1, "")</f>
        <v/>
      </c>
      <c r="J19" s="42" t="n">
        <f aca="false">IF($D19="No", 1, "")</f>
        <v>1</v>
      </c>
      <c r="K19" s="42" t="str">
        <f aca="false">IF($D19="Not Applicable", 1, "")</f>
        <v/>
      </c>
      <c r="L19" s="42" t="str">
        <f aca="false">IF($D19="Refer to comments", 1, "")</f>
        <v/>
      </c>
      <c r="M19" s="42" t="str">
        <f aca="false">IF($D19="Clarification required", 1, "")</f>
        <v/>
      </c>
      <c r="N19" s="5"/>
      <c r="O19" s="5"/>
      <c r="P19" s="5"/>
      <c r="Q19" s="5"/>
      <c r="R19" s="5"/>
      <c r="S19" s="5"/>
      <c r="T19" s="5"/>
      <c r="U19" s="5"/>
      <c r="V19" s="5"/>
      <c r="W19" s="5"/>
      <c r="X19" s="5"/>
      <c r="Y19" s="5"/>
      <c r="Z19" s="5"/>
    </row>
    <row r="20" customFormat="false" ht="13.5" hidden="false" customHeight="true" outlineLevel="0" collapsed="false">
      <c r="A20" s="39" t="n">
        <v>1</v>
      </c>
      <c r="B20" s="56" t="s">
        <v>64</v>
      </c>
      <c r="C20" s="56" t="s">
        <v>65</v>
      </c>
      <c r="D20" s="56" t="s">
        <v>6</v>
      </c>
      <c r="E20" s="57"/>
      <c r="F20" s="57"/>
      <c r="G20" s="57"/>
      <c r="H20" s="57" t="s">
        <v>66</v>
      </c>
      <c r="I20" s="42" t="str">
        <f aca="false">IF($D20="Yes", 1, "")</f>
        <v/>
      </c>
      <c r="J20" s="42" t="n">
        <f aca="false">IF($D20="No", 1, "")</f>
        <v>1</v>
      </c>
      <c r="K20" s="42" t="str">
        <f aca="false">IF($D20="Not Applicable", 1, "")</f>
        <v/>
      </c>
      <c r="L20" s="42" t="str">
        <f aca="false">IF($D20="Refer to comments", 1, "")</f>
        <v/>
      </c>
      <c r="M20" s="42" t="str">
        <f aca="false">IF($D20="Clarification required", 1, "")</f>
        <v/>
      </c>
      <c r="N20" s="5"/>
      <c r="O20" s="5"/>
      <c r="P20" s="5"/>
      <c r="Q20" s="5"/>
      <c r="R20" s="5"/>
      <c r="S20" s="5"/>
      <c r="T20" s="5"/>
      <c r="U20" s="5"/>
      <c r="V20" s="5"/>
      <c r="W20" s="5"/>
      <c r="X20" s="5"/>
      <c r="Y20" s="5"/>
      <c r="Z20" s="5"/>
    </row>
    <row r="21" customFormat="false" ht="13.5" hidden="false" customHeight="true" outlineLevel="0" collapsed="false">
      <c r="A21" s="39" t="n">
        <v>1</v>
      </c>
      <c r="B21" s="56" t="s">
        <v>67</v>
      </c>
      <c r="C21" s="56" t="s">
        <v>68</v>
      </c>
      <c r="D21" s="56" t="s">
        <v>6</v>
      </c>
      <c r="E21" s="57"/>
      <c r="F21" s="57"/>
      <c r="G21" s="57"/>
      <c r="H21" s="57" t="s">
        <v>69</v>
      </c>
      <c r="I21" s="42" t="str">
        <f aca="false">IF($D21="Yes", 1, "")</f>
        <v/>
      </c>
      <c r="J21" s="42" t="n">
        <f aca="false">IF($D21="No", 1, "")</f>
        <v>1</v>
      </c>
      <c r="K21" s="42" t="str">
        <f aca="false">IF($D21="Not Applicable", 1, "")</f>
        <v/>
      </c>
      <c r="L21" s="42" t="str">
        <f aca="false">IF($D21="Refer to comments", 1, "")</f>
        <v/>
      </c>
      <c r="M21" s="42" t="str">
        <f aca="false">IF($D21="Clarification required", 1, "")</f>
        <v/>
      </c>
      <c r="N21" s="5"/>
      <c r="O21" s="5"/>
      <c r="P21" s="5"/>
      <c r="Q21" s="5"/>
      <c r="R21" s="5"/>
      <c r="S21" s="5"/>
      <c r="T21" s="5"/>
      <c r="U21" s="5"/>
      <c r="V21" s="5"/>
      <c r="W21" s="5"/>
      <c r="X21" s="5"/>
      <c r="Y21" s="5"/>
      <c r="Z21" s="5"/>
    </row>
    <row r="22" customFormat="false" ht="13.5" hidden="false" customHeight="true" outlineLevel="0" collapsed="false">
      <c r="A22" s="39" t="n">
        <v>1</v>
      </c>
      <c r="B22" s="56" t="s">
        <v>70</v>
      </c>
      <c r="C22" s="56" t="s">
        <v>71</v>
      </c>
      <c r="D22" s="56" t="s">
        <v>6</v>
      </c>
      <c r="E22" s="57"/>
      <c r="F22" s="57"/>
      <c r="G22" s="57"/>
      <c r="H22" s="57" t="s">
        <v>72</v>
      </c>
      <c r="I22" s="42" t="str">
        <f aca="false">IF($D22="Yes", 1, "")</f>
        <v/>
      </c>
      <c r="J22" s="42" t="n">
        <f aca="false">IF($D22="No", 1, "")</f>
        <v>1</v>
      </c>
      <c r="K22" s="42" t="str">
        <f aca="false">IF($D22="Not Applicable", 1, "")</f>
        <v/>
      </c>
      <c r="L22" s="42" t="str">
        <f aca="false">IF($D22="Refer to comments", 1, "")</f>
        <v/>
      </c>
      <c r="M22" s="42" t="str">
        <f aca="false">IF($D22="Clarification required", 1, "")</f>
        <v/>
      </c>
      <c r="N22" s="5"/>
      <c r="O22" s="5"/>
      <c r="P22" s="5"/>
      <c r="Q22" s="5"/>
      <c r="R22" s="5"/>
      <c r="S22" s="5"/>
      <c r="T22" s="5"/>
      <c r="U22" s="5"/>
      <c r="V22" s="5"/>
      <c r="W22" s="5"/>
      <c r="X22" s="5"/>
      <c r="Y22" s="5"/>
      <c r="Z22" s="5"/>
    </row>
    <row r="23" customFormat="false" ht="13.5" hidden="false" customHeight="true" outlineLevel="0" collapsed="false">
      <c r="A23" s="39" t="n">
        <v>1</v>
      </c>
      <c r="B23" s="56" t="s">
        <v>73</v>
      </c>
      <c r="C23" s="56" t="s">
        <v>74</v>
      </c>
      <c r="D23" s="56" t="s">
        <v>8</v>
      </c>
      <c r="E23" s="57"/>
      <c r="F23" s="57"/>
      <c r="G23" s="57"/>
      <c r="H23" s="57" t="s">
        <v>75</v>
      </c>
      <c r="I23" s="42" t="str">
        <f aca="false">IF($D23="Yes", 1, "")</f>
        <v/>
      </c>
      <c r="J23" s="42" t="str">
        <f aca="false">IF($D23="No", 1, "")</f>
        <v/>
      </c>
      <c r="K23" s="42" t="str">
        <f aca="false">IF($D23="Not Applicable", 1, "")</f>
        <v/>
      </c>
      <c r="L23" s="42" t="n">
        <f aca="false">IF($D23="Refer to comments", 1, "")</f>
        <v>1</v>
      </c>
      <c r="M23" s="42" t="str">
        <f aca="false">IF($D23="Clarification required", 1, "")</f>
        <v/>
      </c>
      <c r="N23" s="5"/>
      <c r="O23" s="5"/>
      <c r="P23" s="5"/>
      <c r="Q23" s="5"/>
      <c r="R23" s="5"/>
      <c r="S23" s="5"/>
      <c r="T23" s="5"/>
      <c r="U23" s="5"/>
      <c r="V23" s="5"/>
      <c r="W23" s="5"/>
      <c r="X23" s="5"/>
      <c r="Y23" s="5"/>
      <c r="Z23" s="5"/>
    </row>
    <row r="24" customFormat="false" ht="39.75" hidden="false" customHeight="true" outlineLevel="0" collapsed="false">
      <c r="A24" s="39"/>
      <c r="B24" s="58" t="s">
        <v>76</v>
      </c>
      <c r="C24" s="58"/>
      <c r="D24" s="59" t="s">
        <v>32</v>
      </c>
      <c r="E24" s="53" t="s">
        <v>33</v>
      </c>
      <c r="F24" s="53" t="s">
        <v>34</v>
      </c>
      <c r="G24" s="53" t="s">
        <v>35</v>
      </c>
      <c r="H24" s="59" t="s">
        <v>36</v>
      </c>
      <c r="I24" s="50" t="s">
        <v>5</v>
      </c>
      <c r="J24" s="50" t="s">
        <v>6</v>
      </c>
      <c r="K24" s="51" t="s">
        <v>37</v>
      </c>
      <c r="L24" s="51" t="s">
        <v>8</v>
      </c>
      <c r="M24" s="51" t="s">
        <v>9</v>
      </c>
      <c r="N24" s="51"/>
      <c r="O24" s="5"/>
      <c r="P24" s="5"/>
      <c r="Q24" s="5"/>
      <c r="R24" s="5"/>
      <c r="S24" s="5"/>
      <c r="T24" s="5"/>
      <c r="U24" s="5"/>
      <c r="V24" s="5"/>
      <c r="W24" s="5"/>
      <c r="X24" s="5"/>
      <c r="Y24" s="5"/>
      <c r="Z24" s="5"/>
    </row>
    <row r="25" customFormat="false" ht="13.5" hidden="false" customHeight="true" outlineLevel="0" collapsed="false">
      <c r="A25" s="39" t="n">
        <v>1</v>
      </c>
      <c r="B25" s="56" t="s">
        <v>77</v>
      </c>
      <c r="C25" s="56" t="s">
        <v>78</v>
      </c>
      <c r="D25" s="56" t="s">
        <v>8</v>
      </c>
      <c r="E25" s="57"/>
      <c r="F25" s="57"/>
      <c r="G25" s="57"/>
      <c r="H25" s="57" t="s">
        <v>79</v>
      </c>
      <c r="I25" s="42" t="str">
        <f aca="false">IF($D25="Yes", 1, "")</f>
        <v/>
      </c>
      <c r="J25" s="42" t="str">
        <f aca="false">IF($D25="No", 1, "")</f>
        <v/>
      </c>
      <c r="K25" s="42" t="str">
        <f aca="false">IF($D25="Not Applicable", 1, "")</f>
        <v/>
      </c>
      <c r="L25" s="42" t="n">
        <f aca="false">IF($D25="Refer to comments", 1, "")</f>
        <v>1</v>
      </c>
      <c r="M25" s="42" t="str">
        <f aca="false">IF($D25="Clarification required", 1, "")</f>
        <v/>
      </c>
      <c r="N25" s="5"/>
      <c r="O25" s="5"/>
      <c r="P25" s="5"/>
      <c r="Q25" s="5"/>
      <c r="R25" s="5"/>
      <c r="S25" s="5"/>
      <c r="T25" s="5"/>
      <c r="U25" s="5"/>
      <c r="V25" s="5"/>
      <c r="W25" s="5"/>
      <c r="X25" s="5"/>
      <c r="Y25" s="5"/>
      <c r="Z25" s="5"/>
    </row>
    <row r="26" customFormat="false" ht="13.5" hidden="false" customHeight="true" outlineLevel="0" collapsed="false">
      <c r="A26" s="39" t="n">
        <v>1</v>
      </c>
      <c r="B26" s="56" t="s">
        <v>80</v>
      </c>
      <c r="C26" s="56" t="s">
        <v>81</v>
      </c>
      <c r="D26" s="56" t="s">
        <v>6</v>
      </c>
      <c r="E26" s="57"/>
      <c r="F26" s="57"/>
      <c r="G26" s="57"/>
      <c r="H26" s="57" t="s">
        <v>82</v>
      </c>
      <c r="I26" s="42" t="str">
        <f aca="false">IF($D26="Yes", 1, "")</f>
        <v/>
      </c>
      <c r="J26" s="42" t="n">
        <f aca="false">IF($D26="No", 1, "")</f>
        <v>1</v>
      </c>
      <c r="K26" s="42" t="str">
        <f aca="false">IF($D26="Not Applicable", 1, "")</f>
        <v/>
      </c>
      <c r="L26" s="42" t="str">
        <f aca="false">IF($D26="Refer to comments", 1, "")</f>
        <v/>
      </c>
      <c r="M26" s="42" t="str">
        <f aca="false">IF($D26="Clarification required", 1, "")</f>
        <v/>
      </c>
      <c r="N26" s="5"/>
      <c r="O26" s="5"/>
      <c r="P26" s="5"/>
      <c r="Q26" s="5"/>
      <c r="R26" s="5"/>
      <c r="S26" s="5"/>
      <c r="T26" s="5"/>
      <c r="U26" s="5"/>
      <c r="V26" s="5"/>
      <c r="W26" s="5"/>
      <c r="X26" s="5"/>
      <c r="Y26" s="5"/>
      <c r="Z26" s="5"/>
    </row>
    <row r="27" customFormat="false" ht="13.5" hidden="false" customHeight="true" outlineLevel="0" collapsed="false">
      <c r="A27" s="39" t="n">
        <v>1</v>
      </c>
      <c r="B27" s="56" t="s">
        <v>83</v>
      </c>
      <c r="C27" s="56" t="s">
        <v>84</v>
      </c>
      <c r="D27" s="56" t="s">
        <v>6</v>
      </c>
      <c r="E27" s="57"/>
      <c r="F27" s="57"/>
      <c r="G27" s="57"/>
      <c r="H27" s="57" t="s">
        <v>85</v>
      </c>
      <c r="I27" s="42" t="str">
        <f aca="false">IF($D27="Yes", 1, "")</f>
        <v/>
      </c>
      <c r="J27" s="42" t="n">
        <f aca="false">IF($D27="No", 1, "")</f>
        <v>1</v>
      </c>
      <c r="K27" s="42" t="str">
        <f aca="false">IF($D27="Not Applicable", 1, "")</f>
        <v/>
      </c>
      <c r="L27" s="42" t="str">
        <f aca="false">IF($D27="Refer to comments", 1, "")</f>
        <v/>
      </c>
      <c r="M27" s="42" t="str">
        <f aca="false">IF($D27="Clarification required", 1, "")</f>
        <v/>
      </c>
      <c r="N27" s="5"/>
      <c r="O27" s="5"/>
      <c r="P27" s="5"/>
      <c r="Q27" s="5"/>
      <c r="R27" s="5"/>
      <c r="S27" s="5"/>
      <c r="T27" s="5"/>
      <c r="U27" s="5"/>
      <c r="V27" s="5"/>
      <c r="W27" s="5"/>
      <c r="X27" s="5"/>
      <c r="Y27" s="5"/>
      <c r="Z27" s="5"/>
    </row>
    <row r="28" customFormat="false" ht="13.5" hidden="false" customHeight="true" outlineLevel="0" collapsed="false">
      <c r="A28" s="39" t="n">
        <v>1</v>
      </c>
      <c r="B28" s="56" t="s">
        <v>86</v>
      </c>
      <c r="C28" s="56" t="s">
        <v>87</v>
      </c>
      <c r="D28" s="56" t="s">
        <v>8</v>
      </c>
      <c r="E28" s="57"/>
      <c r="F28" s="57"/>
      <c r="G28" s="57"/>
      <c r="H28" s="57" t="s">
        <v>88</v>
      </c>
      <c r="I28" s="42" t="str">
        <f aca="false">IF($D28="Yes", 1, "")</f>
        <v/>
      </c>
      <c r="J28" s="42" t="str">
        <f aca="false">IF($D28="No", 1, "")</f>
        <v/>
      </c>
      <c r="K28" s="42" t="str">
        <f aca="false">IF($D28="Not Applicable", 1, "")</f>
        <v/>
      </c>
      <c r="L28" s="42" t="n">
        <f aca="false">IF($D28="Refer to comments", 1, "")</f>
        <v>1</v>
      </c>
      <c r="M28" s="42" t="str">
        <f aca="false">IF($D28="Clarification required", 1, "")</f>
        <v/>
      </c>
      <c r="N28" s="5"/>
      <c r="O28" s="5"/>
      <c r="P28" s="5"/>
      <c r="Q28" s="5"/>
      <c r="R28" s="5"/>
      <c r="S28" s="5"/>
      <c r="T28" s="5"/>
      <c r="U28" s="5"/>
      <c r="V28" s="5"/>
      <c r="W28" s="5"/>
      <c r="X28" s="5"/>
      <c r="Y28" s="5"/>
      <c r="Z28" s="5"/>
    </row>
    <row r="29" customFormat="false" ht="13.5" hidden="false" customHeight="true" outlineLevel="0" collapsed="false">
      <c r="A29" s="39" t="n">
        <v>1</v>
      </c>
      <c r="B29" s="56" t="s">
        <v>89</v>
      </c>
      <c r="C29" s="56" t="s">
        <v>90</v>
      </c>
      <c r="D29" s="56" t="s">
        <v>6</v>
      </c>
      <c r="E29" s="57"/>
      <c r="F29" s="57"/>
      <c r="G29" s="57"/>
      <c r="H29" s="57" t="s">
        <v>91</v>
      </c>
      <c r="I29" s="42" t="str">
        <f aca="false">IF($D29="Yes", 1, "")</f>
        <v/>
      </c>
      <c r="J29" s="42" t="n">
        <f aca="false">IF($D29="No", 1, "")</f>
        <v>1</v>
      </c>
      <c r="K29" s="42" t="str">
        <f aca="false">IF($D29="Not Applicable", 1, "")</f>
        <v/>
      </c>
      <c r="L29" s="42" t="str">
        <f aca="false">IF($D29="Refer to comments", 1, "")</f>
        <v/>
      </c>
      <c r="M29" s="42" t="str">
        <f aca="false">IF($D29="Clarification required", 1, "")</f>
        <v/>
      </c>
      <c r="N29" s="5"/>
      <c r="O29" s="5"/>
      <c r="P29" s="5"/>
      <c r="Q29" s="5"/>
      <c r="R29" s="5"/>
      <c r="S29" s="5"/>
      <c r="T29" s="5"/>
      <c r="U29" s="5"/>
      <c r="V29" s="5"/>
      <c r="W29" s="5"/>
      <c r="X29" s="5"/>
      <c r="Y29" s="5"/>
      <c r="Z29" s="5"/>
    </row>
    <row r="30" customFormat="false" ht="13.5" hidden="false" customHeight="true" outlineLevel="0" collapsed="false">
      <c r="A30" s="39" t="n">
        <v>1</v>
      </c>
      <c r="B30" s="56" t="s">
        <v>92</v>
      </c>
      <c r="C30" s="56" t="s">
        <v>93</v>
      </c>
      <c r="D30" s="56" t="s">
        <v>6</v>
      </c>
      <c r="E30" s="57"/>
      <c r="F30" s="57"/>
      <c r="G30" s="57"/>
      <c r="H30" s="57" t="s">
        <v>94</v>
      </c>
      <c r="I30" s="42" t="str">
        <f aca="false">IF($D30="Yes", 1, "")</f>
        <v/>
      </c>
      <c r="J30" s="42" t="n">
        <f aca="false">IF($D30="No", 1, "")</f>
        <v>1</v>
      </c>
      <c r="K30" s="42" t="str">
        <f aca="false">IF($D30="Not Applicable", 1, "")</f>
        <v/>
      </c>
      <c r="L30" s="42" t="str">
        <f aca="false">IF($D30="Refer to comments", 1, "")</f>
        <v/>
      </c>
      <c r="M30" s="42" t="str">
        <f aca="false">IF($D30="Clarification required", 1, "")</f>
        <v/>
      </c>
      <c r="N30" s="5"/>
      <c r="O30" s="5"/>
      <c r="P30" s="5"/>
      <c r="Q30" s="5"/>
      <c r="R30" s="5"/>
      <c r="S30" s="5"/>
      <c r="T30" s="5"/>
      <c r="U30" s="5"/>
      <c r="V30" s="5"/>
      <c r="W30" s="5"/>
      <c r="X30" s="5"/>
      <c r="Y30" s="5"/>
      <c r="Z30" s="5"/>
    </row>
    <row r="31" customFormat="false" ht="39.75" hidden="false" customHeight="true" outlineLevel="0" collapsed="false">
      <c r="A31" s="39"/>
      <c r="B31" s="58" t="s">
        <v>95</v>
      </c>
      <c r="C31" s="58"/>
      <c r="D31" s="59" t="s">
        <v>32</v>
      </c>
      <c r="E31" s="53" t="s">
        <v>33</v>
      </c>
      <c r="F31" s="53" t="s">
        <v>34</v>
      </c>
      <c r="G31" s="53" t="s">
        <v>35</v>
      </c>
      <c r="H31" s="59" t="s">
        <v>36</v>
      </c>
      <c r="I31" s="50" t="s">
        <v>5</v>
      </c>
      <c r="J31" s="50" t="s">
        <v>6</v>
      </c>
      <c r="K31" s="51" t="s">
        <v>37</v>
      </c>
      <c r="L31" s="51" t="s">
        <v>8</v>
      </c>
      <c r="M31" s="51" t="s">
        <v>9</v>
      </c>
      <c r="N31" s="51"/>
      <c r="O31" s="5"/>
      <c r="P31" s="5"/>
      <c r="Q31" s="5"/>
      <c r="R31" s="5"/>
      <c r="S31" s="5"/>
      <c r="T31" s="5"/>
      <c r="U31" s="5"/>
      <c r="V31" s="5"/>
      <c r="W31" s="5"/>
      <c r="X31" s="5"/>
      <c r="Y31" s="5"/>
      <c r="Z31" s="5"/>
    </row>
    <row r="32" customFormat="false" ht="13.5" hidden="false" customHeight="true" outlineLevel="0" collapsed="false">
      <c r="A32" s="39" t="n">
        <v>1</v>
      </c>
      <c r="B32" s="56" t="s">
        <v>96</v>
      </c>
      <c r="C32" s="56" t="s">
        <v>97</v>
      </c>
      <c r="D32" s="56" t="s">
        <v>6</v>
      </c>
      <c r="E32" s="57"/>
      <c r="F32" s="57"/>
      <c r="G32" s="57"/>
      <c r="H32" s="57" t="s">
        <v>98</v>
      </c>
      <c r="I32" s="42" t="str">
        <f aca="false">IF($D32="Yes", 1, "")</f>
        <v/>
      </c>
      <c r="J32" s="42" t="n">
        <f aca="false">IF($D32="No", 1, "")</f>
        <v>1</v>
      </c>
      <c r="K32" s="42" t="str">
        <f aca="false">IF($D32="Not Applicable", 1, "")</f>
        <v/>
      </c>
      <c r="L32" s="42" t="str">
        <f aca="false">IF($D32="Refer to comments", 1, "")</f>
        <v/>
      </c>
      <c r="M32" s="42" t="str">
        <f aca="false">IF($D32="Clarification required", 1, "")</f>
        <v/>
      </c>
      <c r="N32" s="5"/>
      <c r="O32" s="5"/>
      <c r="P32" s="5"/>
      <c r="Q32" s="5"/>
      <c r="R32" s="5"/>
      <c r="S32" s="5"/>
      <c r="T32" s="5"/>
      <c r="U32" s="5"/>
      <c r="V32" s="5"/>
      <c r="W32" s="5"/>
      <c r="X32" s="5"/>
      <c r="Y32" s="5"/>
      <c r="Z32" s="5"/>
    </row>
    <row r="33" customFormat="false" ht="13.5" hidden="false" customHeight="true" outlineLevel="0" collapsed="false">
      <c r="A33" s="39" t="n">
        <v>1</v>
      </c>
      <c r="B33" s="56" t="s">
        <v>99</v>
      </c>
      <c r="C33" s="56" t="s">
        <v>100</v>
      </c>
      <c r="D33" s="56" t="s">
        <v>6</v>
      </c>
      <c r="E33" s="57"/>
      <c r="F33" s="57"/>
      <c r="G33" s="57"/>
      <c r="H33" s="57" t="s">
        <v>101</v>
      </c>
      <c r="I33" s="42" t="str">
        <f aca="false">IF($D33="Yes", 1, "")</f>
        <v/>
      </c>
      <c r="J33" s="42" t="n">
        <f aca="false">IF($D33="No", 1, "")</f>
        <v>1</v>
      </c>
      <c r="K33" s="42" t="str">
        <f aca="false">IF($D33="Not Applicable", 1, "")</f>
        <v/>
      </c>
      <c r="L33" s="42" t="str">
        <f aca="false">IF($D33="Refer to comments", 1, "")</f>
        <v/>
      </c>
      <c r="M33" s="42" t="str">
        <f aca="false">IF($D33="Clarification required", 1, "")</f>
        <v/>
      </c>
      <c r="N33" s="5"/>
      <c r="O33" s="5"/>
      <c r="P33" s="5"/>
      <c r="Q33" s="5"/>
      <c r="R33" s="5"/>
      <c r="S33" s="5"/>
      <c r="T33" s="5"/>
      <c r="U33" s="5"/>
      <c r="V33" s="5"/>
      <c r="W33" s="5"/>
      <c r="X33" s="5"/>
      <c r="Y33" s="5"/>
      <c r="Z33" s="5"/>
    </row>
    <row r="34" customFormat="false" ht="13.5" hidden="false" customHeight="true" outlineLevel="0" collapsed="false">
      <c r="A34" s="39" t="n">
        <v>1</v>
      </c>
      <c r="B34" s="56" t="s">
        <v>102</v>
      </c>
      <c r="C34" s="56" t="s">
        <v>103</v>
      </c>
      <c r="D34" s="56" t="s">
        <v>6</v>
      </c>
      <c r="E34" s="57"/>
      <c r="F34" s="57"/>
      <c r="G34" s="57"/>
      <c r="H34" s="57" t="s">
        <v>104</v>
      </c>
      <c r="I34" s="42" t="str">
        <f aca="false">IF($D34="Yes", 1, "")</f>
        <v/>
      </c>
      <c r="J34" s="42" t="n">
        <f aca="false">IF($D34="No", 1, "")</f>
        <v>1</v>
      </c>
      <c r="K34" s="42" t="str">
        <f aca="false">IF($D34="Not Applicable", 1, "")</f>
        <v/>
      </c>
      <c r="L34" s="42" t="str">
        <f aca="false">IF($D34="Refer to comments", 1, "")</f>
        <v/>
      </c>
      <c r="M34" s="42" t="str">
        <f aca="false">IF($D34="Clarification required", 1, "")</f>
        <v/>
      </c>
      <c r="N34" s="5"/>
      <c r="O34" s="5"/>
      <c r="P34" s="5"/>
      <c r="Q34" s="5"/>
      <c r="R34" s="5"/>
      <c r="S34" s="5"/>
      <c r="T34" s="5"/>
      <c r="U34" s="5"/>
      <c r="V34" s="5"/>
      <c r="W34" s="5"/>
      <c r="X34" s="5"/>
      <c r="Y34" s="5"/>
      <c r="Z34" s="5"/>
    </row>
    <row r="35" customFormat="false" ht="39.75" hidden="false" customHeight="true" outlineLevel="0" collapsed="false">
      <c r="A35" s="39"/>
      <c r="B35" s="58" t="s">
        <v>105</v>
      </c>
      <c r="C35" s="58"/>
      <c r="D35" s="59" t="s">
        <v>32</v>
      </c>
      <c r="E35" s="53" t="s">
        <v>33</v>
      </c>
      <c r="F35" s="53" t="s">
        <v>34</v>
      </c>
      <c r="G35" s="53" t="s">
        <v>35</v>
      </c>
      <c r="H35" s="59" t="s">
        <v>36</v>
      </c>
      <c r="I35" s="50" t="s">
        <v>5</v>
      </c>
      <c r="J35" s="50" t="s">
        <v>6</v>
      </c>
      <c r="K35" s="51" t="s">
        <v>37</v>
      </c>
      <c r="L35" s="51" t="s">
        <v>8</v>
      </c>
      <c r="M35" s="51" t="s">
        <v>9</v>
      </c>
      <c r="N35" s="51"/>
      <c r="O35" s="5"/>
      <c r="P35" s="5"/>
      <c r="Q35" s="5"/>
      <c r="R35" s="5"/>
      <c r="S35" s="5"/>
      <c r="T35" s="5"/>
      <c r="U35" s="5"/>
      <c r="V35" s="5"/>
      <c r="W35" s="5"/>
      <c r="X35" s="5"/>
      <c r="Y35" s="5"/>
      <c r="Z35" s="5"/>
    </row>
    <row r="36" customFormat="false" ht="13.5" hidden="false" customHeight="true" outlineLevel="0" collapsed="false">
      <c r="A36" s="39" t="n">
        <v>1</v>
      </c>
      <c r="B36" s="56" t="s">
        <v>106</v>
      </c>
      <c r="C36" s="56" t="s">
        <v>107</v>
      </c>
      <c r="D36" s="56" t="s">
        <v>6</v>
      </c>
      <c r="E36" s="57"/>
      <c r="F36" s="57"/>
      <c r="G36" s="57"/>
      <c r="H36" s="57" t="s">
        <v>108</v>
      </c>
      <c r="I36" s="42" t="str">
        <f aca="false">IF($D36="Yes", 1, "")</f>
        <v/>
      </c>
      <c r="J36" s="42" t="n">
        <f aca="false">IF($D36="No", 1, "")</f>
        <v>1</v>
      </c>
      <c r="K36" s="42" t="str">
        <f aca="false">IF($D36="Not Applicable", 1, "")</f>
        <v/>
      </c>
      <c r="L36" s="42" t="str">
        <f aca="false">IF($D36="Refer to comments", 1, "")</f>
        <v/>
      </c>
      <c r="M36" s="42" t="str">
        <f aca="false">IF($D36="Clarification required", 1, "")</f>
        <v/>
      </c>
      <c r="N36" s="5"/>
      <c r="O36" s="5"/>
      <c r="P36" s="5"/>
      <c r="Q36" s="5"/>
      <c r="R36" s="5"/>
      <c r="S36" s="5"/>
      <c r="T36" s="5"/>
      <c r="U36" s="5"/>
      <c r="V36" s="5"/>
      <c r="W36" s="5"/>
      <c r="X36" s="5"/>
      <c r="Y36" s="5"/>
      <c r="Z36" s="5"/>
    </row>
    <row r="37" customFormat="false" ht="13.5" hidden="false" customHeight="true" outlineLevel="0" collapsed="false">
      <c r="A37" s="39" t="n">
        <v>1</v>
      </c>
      <c r="B37" s="56" t="s">
        <v>109</v>
      </c>
      <c r="C37" s="56" t="s">
        <v>110</v>
      </c>
      <c r="D37" s="56" t="s">
        <v>6</v>
      </c>
      <c r="E37" s="57"/>
      <c r="F37" s="57"/>
      <c r="G37" s="57"/>
      <c r="H37" s="57" t="s">
        <v>111</v>
      </c>
      <c r="I37" s="42" t="str">
        <f aca="false">IF($D37="Yes", 1, "")</f>
        <v/>
      </c>
      <c r="J37" s="42" t="n">
        <f aca="false">IF($D37="No", 1, "")</f>
        <v>1</v>
      </c>
      <c r="K37" s="42" t="str">
        <f aca="false">IF($D37="Not Applicable", 1, "")</f>
        <v/>
      </c>
      <c r="L37" s="42" t="str">
        <f aca="false">IF($D37="Refer to comments", 1, "")</f>
        <v/>
      </c>
      <c r="M37" s="42" t="str">
        <f aca="false">IF($D37="Clarification required", 1, "")</f>
        <v/>
      </c>
      <c r="N37" s="5"/>
      <c r="O37" s="5"/>
      <c r="P37" s="5"/>
      <c r="Q37" s="5"/>
      <c r="R37" s="5"/>
      <c r="S37" s="5"/>
      <c r="T37" s="5"/>
      <c r="U37" s="5"/>
      <c r="V37" s="5"/>
      <c r="W37" s="5"/>
      <c r="X37" s="5"/>
      <c r="Y37" s="5"/>
      <c r="Z37" s="5"/>
    </row>
    <row r="38" customFormat="false" ht="13.5" hidden="false" customHeight="true" outlineLevel="0" collapsed="false">
      <c r="A38" s="39" t="n">
        <v>1</v>
      </c>
      <c r="B38" s="56" t="s">
        <v>112</v>
      </c>
      <c r="C38" s="56" t="s">
        <v>113</v>
      </c>
      <c r="D38" s="56" t="s">
        <v>6</v>
      </c>
      <c r="E38" s="57"/>
      <c r="F38" s="57"/>
      <c r="G38" s="57"/>
      <c r="H38" s="57" t="s">
        <v>114</v>
      </c>
      <c r="I38" s="42" t="str">
        <f aca="false">IF($D38="Yes", 1, "")</f>
        <v/>
      </c>
      <c r="J38" s="42" t="n">
        <f aca="false">IF($D38="No", 1, "")</f>
        <v>1</v>
      </c>
      <c r="K38" s="42" t="str">
        <f aca="false">IF($D38="Not Applicable", 1, "")</f>
        <v/>
      </c>
      <c r="L38" s="42" t="str">
        <f aca="false">IF($D38="Refer to comments", 1, "")</f>
        <v/>
      </c>
      <c r="M38" s="42" t="str">
        <f aca="false">IF($D38="Clarification required", 1, "")</f>
        <v/>
      </c>
      <c r="N38" s="5"/>
      <c r="O38" s="5"/>
      <c r="P38" s="5"/>
      <c r="Q38" s="5"/>
      <c r="R38" s="5"/>
      <c r="S38" s="5"/>
      <c r="T38" s="5"/>
      <c r="U38" s="5"/>
      <c r="V38" s="5"/>
      <c r="W38" s="5"/>
      <c r="X38" s="5"/>
      <c r="Y38" s="5"/>
      <c r="Z38" s="5"/>
    </row>
    <row r="39" customFormat="false" ht="13.5" hidden="false" customHeight="true" outlineLevel="0" collapsed="false">
      <c r="A39" s="39" t="n">
        <v>1</v>
      </c>
      <c r="B39" s="56" t="s">
        <v>115</v>
      </c>
      <c r="C39" s="56" t="s">
        <v>116</v>
      </c>
      <c r="D39" s="56" t="s">
        <v>6</v>
      </c>
      <c r="E39" s="57"/>
      <c r="F39" s="57"/>
      <c r="G39" s="57"/>
      <c r="H39" s="57" t="s">
        <v>117</v>
      </c>
      <c r="I39" s="42" t="str">
        <f aca="false">IF($D39="Yes", 1, "")</f>
        <v/>
      </c>
      <c r="J39" s="42" t="n">
        <f aca="false">IF($D39="No", 1, "")</f>
        <v>1</v>
      </c>
      <c r="K39" s="42" t="str">
        <f aca="false">IF($D39="Not Applicable", 1, "")</f>
        <v/>
      </c>
      <c r="L39" s="42" t="str">
        <f aca="false">IF($D39="Refer to comments", 1, "")</f>
        <v/>
      </c>
      <c r="M39" s="42" t="str">
        <f aca="false">IF($D39="Clarification required", 1, "")</f>
        <v/>
      </c>
      <c r="N39" s="5"/>
      <c r="O39" s="5"/>
      <c r="P39" s="5"/>
      <c r="Q39" s="5"/>
      <c r="R39" s="5"/>
      <c r="S39" s="5"/>
      <c r="T39" s="5"/>
      <c r="U39" s="5"/>
      <c r="V39" s="5"/>
      <c r="W39" s="5"/>
      <c r="X39" s="5"/>
      <c r="Y39" s="5"/>
      <c r="Z39" s="5"/>
    </row>
    <row r="40" customFormat="false" ht="13.5" hidden="false" customHeight="true" outlineLevel="0" collapsed="false">
      <c r="A40" s="39" t="n">
        <v>1</v>
      </c>
      <c r="B40" s="56" t="s">
        <v>118</v>
      </c>
      <c r="C40" s="56" t="s">
        <v>119</v>
      </c>
      <c r="D40" s="56" t="s">
        <v>6</v>
      </c>
      <c r="E40" s="57"/>
      <c r="F40" s="57"/>
      <c r="G40" s="57"/>
      <c r="H40" s="57" t="s">
        <v>120</v>
      </c>
      <c r="I40" s="42" t="str">
        <f aca="false">IF($D40="Yes", 1, "")</f>
        <v/>
      </c>
      <c r="J40" s="42" t="n">
        <f aca="false">IF($D40="No", 1, "")</f>
        <v>1</v>
      </c>
      <c r="K40" s="42" t="str">
        <f aca="false">IF($D40="Not Applicable", 1, "")</f>
        <v/>
      </c>
      <c r="L40" s="42" t="str">
        <f aca="false">IF($D40="Refer to comments", 1, "")</f>
        <v/>
      </c>
      <c r="M40" s="42" t="str">
        <f aca="false">IF($D40="Clarification required", 1, "")</f>
        <v/>
      </c>
      <c r="N40" s="5"/>
      <c r="O40" s="5"/>
      <c r="P40" s="5"/>
      <c r="Q40" s="5"/>
      <c r="R40" s="5"/>
      <c r="S40" s="5"/>
      <c r="T40" s="5"/>
      <c r="U40" s="5"/>
      <c r="V40" s="5"/>
      <c r="W40" s="5"/>
      <c r="X40" s="5"/>
      <c r="Y40" s="5"/>
      <c r="Z40" s="5"/>
    </row>
    <row r="41" customFormat="false" ht="39.75" hidden="false" customHeight="true" outlineLevel="0" collapsed="false">
      <c r="A41" s="39"/>
      <c r="B41" s="58" t="s">
        <v>121</v>
      </c>
      <c r="C41" s="58"/>
      <c r="D41" s="59" t="s">
        <v>32</v>
      </c>
      <c r="E41" s="53" t="s">
        <v>33</v>
      </c>
      <c r="F41" s="53" t="s">
        <v>34</v>
      </c>
      <c r="G41" s="53" t="s">
        <v>35</v>
      </c>
      <c r="H41" s="59" t="s">
        <v>36</v>
      </c>
      <c r="I41" s="50" t="s">
        <v>5</v>
      </c>
      <c r="J41" s="50" t="s">
        <v>6</v>
      </c>
      <c r="K41" s="51" t="s">
        <v>37</v>
      </c>
      <c r="L41" s="51" t="s">
        <v>8</v>
      </c>
      <c r="M41" s="51" t="s">
        <v>9</v>
      </c>
      <c r="N41" s="51"/>
      <c r="O41" s="5"/>
      <c r="P41" s="5"/>
      <c r="Q41" s="5"/>
      <c r="R41" s="5"/>
      <c r="S41" s="5"/>
      <c r="T41" s="5"/>
      <c r="U41" s="5"/>
      <c r="V41" s="5"/>
      <c r="W41" s="5"/>
      <c r="X41" s="5"/>
      <c r="Y41" s="5"/>
      <c r="Z41" s="5"/>
    </row>
    <row r="42" customFormat="false" ht="13.5" hidden="false" customHeight="true" outlineLevel="0" collapsed="false">
      <c r="A42" s="39" t="n">
        <v>1</v>
      </c>
      <c r="B42" s="56" t="s">
        <v>122</v>
      </c>
      <c r="C42" s="56" t="s">
        <v>123</v>
      </c>
      <c r="D42" s="56" t="s">
        <v>6</v>
      </c>
      <c r="E42" s="57"/>
      <c r="F42" s="57"/>
      <c r="G42" s="57"/>
      <c r="H42" s="57" t="s">
        <v>124</v>
      </c>
      <c r="I42" s="42" t="str">
        <f aca="false">IF($D42="Yes", 1, "")</f>
        <v/>
      </c>
      <c r="J42" s="42" t="n">
        <f aca="false">IF($D42="No", 1, "")</f>
        <v>1</v>
      </c>
      <c r="K42" s="42" t="str">
        <f aca="false">IF($D42="Not Applicable", 1, "")</f>
        <v/>
      </c>
      <c r="L42" s="42" t="str">
        <f aca="false">IF($D42="Refer to comments", 1, "")</f>
        <v/>
      </c>
      <c r="M42" s="42" t="str">
        <f aca="false">IF($D42="Clarification required", 1, "")</f>
        <v/>
      </c>
      <c r="N42" s="5"/>
      <c r="O42" s="5"/>
      <c r="P42" s="5"/>
      <c r="Q42" s="5"/>
      <c r="R42" s="5"/>
      <c r="S42" s="5"/>
      <c r="T42" s="5"/>
      <c r="U42" s="5"/>
      <c r="V42" s="5"/>
      <c r="W42" s="5"/>
      <c r="X42" s="5"/>
      <c r="Y42" s="5"/>
      <c r="Z42" s="5"/>
    </row>
    <row r="43" customFormat="false" ht="13.5" hidden="false" customHeight="true" outlineLevel="0" collapsed="false">
      <c r="A43" s="39" t="n">
        <v>1</v>
      </c>
      <c r="B43" s="56" t="s">
        <v>125</v>
      </c>
      <c r="C43" s="56" t="s">
        <v>126</v>
      </c>
      <c r="D43" s="56" t="s">
        <v>8</v>
      </c>
      <c r="E43" s="57"/>
      <c r="F43" s="57"/>
      <c r="G43" s="57"/>
      <c r="H43" s="57" t="s">
        <v>127</v>
      </c>
      <c r="I43" s="42" t="str">
        <f aca="false">IF($D43="Yes", 1, "")</f>
        <v/>
      </c>
      <c r="J43" s="42" t="str">
        <f aca="false">IF($D43="No", 1, "")</f>
        <v/>
      </c>
      <c r="K43" s="42" t="str">
        <f aca="false">IF($D43="Not Applicable", 1, "")</f>
        <v/>
      </c>
      <c r="L43" s="42" t="n">
        <f aca="false">IF($D43="Refer to comments", 1, "")</f>
        <v>1</v>
      </c>
      <c r="M43" s="42" t="str">
        <f aca="false">IF($D43="Clarification required", 1, "")</f>
        <v/>
      </c>
      <c r="N43" s="5"/>
      <c r="O43" s="5"/>
      <c r="P43" s="5"/>
      <c r="Q43" s="5"/>
      <c r="R43" s="5"/>
      <c r="S43" s="5"/>
      <c r="T43" s="5"/>
      <c r="U43" s="5"/>
      <c r="V43" s="5"/>
      <c r="W43" s="5"/>
      <c r="X43" s="5"/>
      <c r="Y43" s="5"/>
      <c r="Z43" s="5"/>
    </row>
    <row r="44" customFormat="false" ht="30" hidden="false" customHeight="true" outlineLevel="0" collapsed="false">
      <c r="A44" s="39"/>
      <c r="B44" s="49" t="s">
        <v>22</v>
      </c>
      <c r="C44" s="49"/>
      <c r="D44" s="49"/>
      <c r="E44" s="49"/>
      <c r="F44" s="49"/>
      <c r="G44" s="49"/>
      <c r="H44" s="49"/>
      <c r="I44" s="50"/>
      <c r="J44" s="50"/>
      <c r="K44" s="51"/>
      <c r="L44" s="51"/>
      <c r="M44" s="51"/>
      <c r="N44" s="51"/>
      <c r="O44" s="5"/>
      <c r="P44" s="5"/>
      <c r="Q44" s="5"/>
      <c r="R44" s="5"/>
      <c r="S44" s="5"/>
      <c r="T44" s="5"/>
      <c r="U44" s="5"/>
      <c r="V44" s="5"/>
      <c r="W44" s="5"/>
      <c r="X44" s="5"/>
      <c r="Y44" s="5"/>
      <c r="Z44" s="5"/>
    </row>
    <row r="45" customFormat="false" ht="39.75" hidden="false" customHeight="true" outlineLevel="0" collapsed="false">
      <c r="A45" s="39"/>
      <c r="B45" s="58" t="s">
        <v>128</v>
      </c>
      <c r="C45" s="58"/>
      <c r="D45" s="59" t="s">
        <v>32</v>
      </c>
      <c r="E45" s="53" t="s">
        <v>33</v>
      </c>
      <c r="F45" s="53" t="s">
        <v>34</v>
      </c>
      <c r="G45" s="53" t="s">
        <v>35</v>
      </c>
      <c r="H45" s="59" t="s">
        <v>36</v>
      </c>
      <c r="I45" s="50" t="s">
        <v>5</v>
      </c>
      <c r="J45" s="50" t="s">
        <v>6</v>
      </c>
      <c r="K45" s="51" t="s">
        <v>37</v>
      </c>
      <c r="L45" s="51" t="s">
        <v>8</v>
      </c>
      <c r="M45" s="51" t="s">
        <v>9</v>
      </c>
      <c r="N45" s="51"/>
      <c r="O45" s="5"/>
      <c r="P45" s="5"/>
      <c r="Q45" s="5"/>
      <c r="R45" s="5"/>
      <c r="S45" s="5"/>
      <c r="T45" s="5"/>
      <c r="U45" s="5"/>
      <c r="V45" s="5"/>
      <c r="W45" s="5"/>
      <c r="X45" s="5"/>
      <c r="Y45" s="5"/>
      <c r="Z45" s="5"/>
    </row>
    <row r="46" customFormat="false" ht="13.5" hidden="false" customHeight="true" outlineLevel="0" collapsed="false">
      <c r="A46" s="39" t="n">
        <v>1</v>
      </c>
      <c r="B46" s="60" t="s">
        <v>51</v>
      </c>
      <c r="C46" s="60" t="s">
        <v>129</v>
      </c>
      <c r="D46" s="60" t="s">
        <v>6</v>
      </c>
      <c r="E46" s="61"/>
      <c r="F46" s="61"/>
      <c r="G46" s="61"/>
      <c r="H46" s="61" t="s">
        <v>130</v>
      </c>
      <c r="I46" s="42" t="str">
        <f aca="false">IF($D46="Yes", 1, "")</f>
        <v/>
      </c>
      <c r="J46" s="42" t="n">
        <f aca="false">IF($D46="No", 1, "")</f>
        <v>1</v>
      </c>
      <c r="K46" s="42" t="str">
        <f aca="false">IF($D46="Not Applicable", 1, "")</f>
        <v/>
      </c>
      <c r="L46" s="42" t="str">
        <f aca="false">IF($D46="Refer to comments", 1, "")</f>
        <v/>
      </c>
      <c r="M46" s="42" t="str">
        <f aca="false">IF($D46="Clarification required", 1, "")</f>
        <v/>
      </c>
      <c r="N46" s="5"/>
      <c r="O46" s="5"/>
      <c r="P46" s="5"/>
      <c r="Q46" s="5"/>
      <c r="R46" s="5"/>
      <c r="S46" s="5"/>
      <c r="T46" s="5"/>
      <c r="U46" s="5"/>
      <c r="V46" s="5"/>
      <c r="W46" s="5"/>
      <c r="X46" s="5"/>
      <c r="Y46" s="5"/>
      <c r="Z46" s="5"/>
    </row>
    <row r="47" customFormat="false" ht="13.5" hidden="false" customHeight="true" outlineLevel="0" collapsed="false">
      <c r="A47" s="39" t="n">
        <v>1</v>
      </c>
      <c r="B47" s="60" t="s">
        <v>131</v>
      </c>
      <c r="C47" s="60" t="s">
        <v>132</v>
      </c>
      <c r="D47" s="60" t="s">
        <v>6</v>
      </c>
      <c r="E47" s="61"/>
      <c r="F47" s="61"/>
      <c r="G47" s="61"/>
      <c r="H47" s="61" t="s">
        <v>133</v>
      </c>
      <c r="I47" s="42" t="str">
        <f aca="false">IF($D47="Yes", 1, "")</f>
        <v/>
      </c>
      <c r="J47" s="42" t="n">
        <f aca="false">IF($D47="No", 1, "")</f>
        <v>1</v>
      </c>
      <c r="K47" s="42" t="str">
        <f aca="false">IF($D47="Not Applicable", 1, "")</f>
        <v/>
      </c>
      <c r="L47" s="42" t="str">
        <f aca="false">IF($D47="Refer to comments", 1, "")</f>
        <v/>
      </c>
      <c r="M47" s="42" t="str">
        <f aca="false">IF($D47="Clarification required", 1, "")</f>
        <v/>
      </c>
      <c r="N47" s="5"/>
      <c r="O47" s="5"/>
      <c r="P47" s="5"/>
      <c r="Q47" s="5"/>
      <c r="R47" s="5"/>
      <c r="S47" s="5"/>
      <c r="T47" s="5"/>
      <c r="U47" s="5"/>
      <c r="V47" s="5"/>
      <c r="W47" s="5"/>
      <c r="X47" s="5"/>
      <c r="Y47" s="5"/>
      <c r="Z47" s="5"/>
    </row>
    <row r="48" customFormat="false" ht="13.5" hidden="false" customHeight="true" outlineLevel="0" collapsed="false">
      <c r="A48" s="39" t="n">
        <v>1</v>
      </c>
      <c r="B48" s="60" t="s">
        <v>134</v>
      </c>
      <c r="C48" s="60" t="s">
        <v>135</v>
      </c>
      <c r="D48" s="60" t="s">
        <v>6</v>
      </c>
      <c r="E48" s="61"/>
      <c r="F48" s="61"/>
      <c r="G48" s="61"/>
      <c r="H48" s="61" t="s">
        <v>136</v>
      </c>
      <c r="I48" s="42" t="str">
        <f aca="false">IF($D48="Yes", 1, "")</f>
        <v/>
      </c>
      <c r="J48" s="42" t="n">
        <f aca="false">IF($D48="No", 1, "")</f>
        <v>1</v>
      </c>
      <c r="K48" s="42" t="str">
        <f aca="false">IF($D48="Not Applicable", 1, "")</f>
        <v/>
      </c>
      <c r="L48" s="42" t="str">
        <f aca="false">IF($D48="Refer to comments", 1, "")</f>
        <v/>
      </c>
      <c r="M48" s="42" t="str">
        <f aca="false">IF($D48="Clarification required", 1, "")</f>
        <v/>
      </c>
      <c r="N48" s="5"/>
      <c r="O48" s="5"/>
      <c r="P48" s="5"/>
      <c r="Q48" s="5"/>
      <c r="R48" s="5"/>
      <c r="S48" s="5"/>
      <c r="T48" s="5"/>
      <c r="U48" s="5"/>
      <c r="V48" s="5"/>
      <c r="W48" s="5"/>
      <c r="X48" s="5"/>
      <c r="Y48" s="5"/>
      <c r="Z48" s="5"/>
    </row>
    <row r="49" customFormat="false" ht="13.5" hidden="false" customHeight="true" outlineLevel="0" collapsed="false">
      <c r="A49" s="39" t="n">
        <v>1</v>
      </c>
      <c r="B49" s="56" t="n">
        <v>5.2</v>
      </c>
      <c r="C49" s="56" t="s">
        <v>137</v>
      </c>
      <c r="D49" s="56" t="s">
        <v>8</v>
      </c>
      <c r="E49" s="57"/>
      <c r="F49" s="57"/>
      <c r="G49" s="57"/>
      <c r="H49" s="57" t="s">
        <v>138</v>
      </c>
      <c r="I49" s="42" t="str">
        <f aca="false">IF($D49="Yes", 1, "")</f>
        <v/>
      </c>
      <c r="J49" s="42" t="str">
        <f aca="false">IF($D49="No", 1, "")</f>
        <v/>
      </c>
      <c r="K49" s="42" t="str">
        <f aca="false">IF($D49="Not Applicable", 1, "")</f>
        <v/>
      </c>
      <c r="L49" s="42" t="n">
        <f aca="false">IF($D49="Refer to comments", 1, "")</f>
        <v>1</v>
      </c>
      <c r="M49" s="42" t="str">
        <f aca="false">IF($D49="Clarification required", 1, "")</f>
        <v/>
      </c>
      <c r="N49" s="5"/>
      <c r="O49" s="5"/>
      <c r="P49" s="5"/>
      <c r="Q49" s="5"/>
      <c r="R49" s="5"/>
      <c r="S49" s="5"/>
      <c r="T49" s="5"/>
      <c r="U49" s="5"/>
      <c r="V49" s="5"/>
      <c r="W49" s="5"/>
      <c r="X49" s="5"/>
      <c r="Y49" s="5"/>
      <c r="Z49" s="5"/>
    </row>
    <row r="50" customFormat="false" ht="13.5" hidden="false" customHeight="true" outlineLevel="0" collapsed="false">
      <c r="A50" s="39" t="n">
        <v>1</v>
      </c>
      <c r="B50" s="60" t="n">
        <v>5.3</v>
      </c>
      <c r="C50" s="60" t="s">
        <v>139</v>
      </c>
      <c r="D50" s="60" t="s">
        <v>8</v>
      </c>
      <c r="E50" s="61"/>
      <c r="F50" s="61"/>
      <c r="G50" s="61"/>
      <c r="H50" s="61" t="s">
        <v>140</v>
      </c>
      <c r="I50" s="42" t="str">
        <f aca="false">IF($D50="Yes", 1, "")</f>
        <v/>
      </c>
      <c r="J50" s="42" t="str">
        <f aca="false">IF($D50="No", 1, "")</f>
        <v/>
      </c>
      <c r="K50" s="42" t="str">
        <f aca="false">IF($D50="Not Applicable", 1, "")</f>
        <v/>
      </c>
      <c r="L50" s="42" t="n">
        <f aca="false">IF($D50="Refer to comments", 1, "")</f>
        <v>1</v>
      </c>
      <c r="M50" s="42" t="str">
        <f aca="false">IF($D50="Clarification required", 1, "")</f>
        <v/>
      </c>
      <c r="N50" s="5"/>
      <c r="O50" s="5"/>
      <c r="P50" s="5"/>
      <c r="Q50" s="5"/>
      <c r="R50" s="5"/>
      <c r="S50" s="5"/>
      <c r="T50" s="5"/>
      <c r="U50" s="5"/>
      <c r="V50" s="5"/>
      <c r="W50" s="5"/>
      <c r="X50" s="5"/>
      <c r="Y50" s="5"/>
      <c r="Z50" s="5"/>
    </row>
    <row r="51" customFormat="false" ht="13.5" hidden="false" customHeight="true" outlineLevel="0" collapsed="false">
      <c r="A51" s="39" t="n">
        <v>1</v>
      </c>
      <c r="B51" s="56" t="n">
        <v>5.4</v>
      </c>
      <c r="C51" s="56" t="s">
        <v>141</v>
      </c>
      <c r="D51" s="56" t="s">
        <v>6</v>
      </c>
      <c r="E51" s="57"/>
      <c r="F51" s="57"/>
      <c r="G51" s="57"/>
      <c r="H51" s="57" t="s">
        <v>142</v>
      </c>
      <c r="I51" s="42" t="str">
        <f aca="false">IF($D51="Yes", 1, "")</f>
        <v/>
      </c>
      <c r="J51" s="42" t="n">
        <f aca="false">IF($D51="No", 1, "")</f>
        <v>1</v>
      </c>
      <c r="K51" s="42" t="str">
        <f aca="false">IF($D51="Not Applicable", 1, "")</f>
        <v/>
      </c>
      <c r="L51" s="42" t="str">
        <f aca="false">IF($D51="Refer to comments", 1, "")</f>
        <v/>
      </c>
      <c r="M51" s="42" t="str">
        <f aca="false">IF($D51="Clarification required", 1, "")</f>
        <v/>
      </c>
      <c r="N51" s="5"/>
      <c r="O51" s="5"/>
      <c r="P51" s="5"/>
      <c r="Q51" s="5"/>
      <c r="R51" s="5"/>
      <c r="S51" s="5"/>
      <c r="T51" s="5"/>
      <c r="U51" s="5"/>
      <c r="V51" s="5"/>
      <c r="W51" s="5"/>
      <c r="X51" s="5"/>
      <c r="Y51" s="5"/>
      <c r="Z51" s="5"/>
    </row>
    <row r="52" customFormat="false" ht="13.5" hidden="false" customHeight="true" outlineLevel="0" collapsed="false">
      <c r="A52" s="39" t="n">
        <v>1</v>
      </c>
      <c r="B52" s="60" t="n">
        <v>5.5</v>
      </c>
      <c r="C52" s="60" t="s">
        <v>143</v>
      </c>
      <c r="D52" s="60" t="s">
        <v>5</v>
      </c>
      <c r="E52" s="61"/>
      <c r="F52" s="61"/>
      <c r="G52" s="61"/>
      <c r="H52" s="61" t="s">
        <v>144</v>
      </c>
      <c r="I52" s="42" t="n">
        <f aca="false">IF($D52="Yes", 1, "")</f>
        <v>1</v>
      </c>
      <c r="J52" s="42" t="str">
        <f aca="false">IF($D52="No", 1, "")</f>
        <v/>
      </c>
      <c r="K52" s="42" t="str">
        <f aca="false">IF($D52="Not Applicable", 1, "")</f>
        <v/>
      </c>
      <c r="L52" s="42" t="str">
        <f aca="false">IF($D52="Refer to comments", 1, "")</f>
        <v/>
      </c>
      <c r="M52" s="42" t="str">
        <f aca="false">IF($D52="Clarification required", 1, "")</f>
        <v/>
      </c>
      <c r="N52" s="5"/>
      <c r="O52" s="5"/>
      <c r="P52" s="5"/>
      <c r="Q52" s="5"/>
      <c r="R52" s="5"/>
      <c r="S52" s="5"/>
      <c r="T52" s="5"/>
      <c r="U52" s="5"/>
      <c r="V52" s="5"/>
      <c r="W52" s="5"/>
      <c r="X52" s="5"/>
      <c r="Y52" s="5"/>
      <c r="Z52" s="5"/>
    </row>
    <row r="53" customFormat="false" ht="13.5" hidden="false" customHeight="true" outlineLevel="0" collapsed="false">
      <c r="A53" s="39" t="n">
        <v>1</v>
      </c>
      <c r="B53" s="56" t="n">
        <v>5.6</v>
      </c>
      <c r="C53" s="56" t="s">
        <v>145</v>
      </c>
      <c r="D53" s="56" t="s">
        <v>6</v>
      </c>
      <c r="E53" s="57"/>
      <c r="F53" s="57"/>
      <c r="G53" s="57"/>
      <c r="H53" s="57" t="s">
        <v>146</v>
      </c>
      <c r="I53" s="42" t="str">
        <f aca="false">IF($D53="Yes", 1, "")</f>
        <v/>
      </c>
      <c r="J53" s="42" t="n">
        <f aca="false">IF($D53="No", 1, "")</f>
        <v>1</v>
      </c>
      <c r="K53" s="42" t="str">
        <f aca="false">IF($D53="Not Applicable", 1, "")</f>
        <v/>
      </c>
      <c r="L53" s="42" t="str">
        <f aca="false">IF($D53="Refer to comments", 1, "")</f>
        <v/>
      </c>
      <c r="M53" s="42" t="str">
        <f aca="false">IF($D53="Clarification required", 1, "")</f>
        <v/>
      </c>
      <c r="N53" s="5"/>
      <c r="O53" s="5"/>
      <c r="P53" s="5"/>
      <c r="Q53" s="5"/>
      <c r="R53" s="5"/>
      <c r="S53" s="5"/>
      <c r="T53" s="5"/>
      <c r="U53" s="5"/>
      <c r="V53" s="5"/>
      <c r="W53" s="5"/>
      <c r="X53" s="5"/>
      <c r="Y53" s="5"/>
      <c r="Z53" s="5"/>
    </row>
    <row r="54" customFormat="false" ht="13.5" hidden="false" customHeight="true" outlineLevel="0" collapsed="false">
      <c r="A54" s="39" t="n">
        <v>1</v>
      </c>
      <c r="B54" s="60" t="s">
        <v>147</v>
      </c>
      <c r="C54" s="60" t="s">
        <v>148</v>
      </c>
      <c r="D54" s="60" t="s">
        <v>6</v>
      </c>
      <c r="E54" s="61"/>
      <c r="F54" s="61"/>
      <c r="G54" s="61"/>
      <c r="H54" s="61" t="s">
        <v>149</v>
      </c>
      <c r="I54" s="42" t="str">
        <f aca="false">IF($D54="Yes", 1, "")</f>
        <v/>
      </c>
      <c r="J54" s="42" t="n">
        <f aca="false">IF($D54="No", 1, "")</f>
        <v>1</v>
      </c>
      <c r="K54" s="42" t="str">
        <f aca="false">IF($D54="Not Applicable", 1, "")</f>
        <v/>
      </c>
      <c r="L54" s="42" t="str">
        <f aca="false">IF($D54="Refer to comments", 1, "")</f>
        <v/>
      </c>
      <c r="M54" s="42" t="str">
        <f aca="false">IF($D54="Clarification required", 1, "")</f>
        <v/>
      </c>
      <c r="N54" s="5"/>
      <c r="O54" s="5"/>
      <c r="P54" s="5"/>
      <c r="Q54" s="5"/>
      <c r="R54" s="5"/>
      <c r="S54" s="5"/>
      <c r="T54" s="5"/>
      <c r="U54" s="5"/>
      <c r="V54" s="5"/>
      <c r="W54" s="5"/>
      <c r="X54" s="5"/>
      <c r="Y54" s="5"/>
      <c r="Z54" s="5"/>
    </row>
    <row r="55" customFormat="false" ht="13.5" hidden="false" customHeight="true" outlineLevel="0" collapsed="false">
      <c r="A55" s="39" t="n">
        <v>1</v>
      </c>
      <c r="B55" s="60" t="s">
        <v>150</v>
      </c>
      <c r="C55" s="60" t="s">
        <v>151</v>
      </c>
      <c r="D55" s="60" t="s">
        <v>6</v>
      </c>
      <c r="E55" s="61"/>
      <c r="F55" s="61"/>
      <c r="G55" s="61"/>
      <c r="H55" s="61" t="s">
        <v>152</v>
      </c>
      <c r="I55" s="42" t="str">
        <f aca="false">IF($D55="Yes", 1, "")</f>
        <v/>
      </c>
      <c r="J55" s="42" t="n">
        <f aca="false">IF($D55="No", 1, "")</f>
        <v>1</v>
      </c>
      <c r="K55" s="42" t="str">
        <f aca="false">IF($D55="Not Applicable", 1, "")</f>
        <v/>
      </c>
      <c r="L55" s="42" t="str">
        <f aca="false">IF($D55="Refer to comments", 1, "")</f>
        <v/>
      </c>
      <c r="M55" s="42" t="str">
        <f aca="false">IF($D55="Clarification required", 1, "")</f>
        <v/>
      </c>
      <c r="N55" s="5"/>
      <c r="O55" s="5"/>
      <c r="P55" s="5"/>
      <c r="Q55" s="5"/>
      <c r="R55" s="5"/>
      <c r="S55" s="5"/>
      <c r="T55" s="5"/>
      <c r="U55" s="5"/>
      <c r="V55" s="5"/>
      <c r="W55" s="5"/>
      <c r="X55" s="5"/>
      <c r="Y55" s="5"/>
      <c r="Z55" s="5"/>
    </row>
    <row r="56" customFormat="false" ht="13.5" hidden="false" customHeight="true" outlineLevel="0" collapsed="false">
      <c r="A56" s="39" t="n">
        <v>1</v>
      </c>
      <c r="B56" s="60" t="s">
        <v>153</v>
      </c>
      <c r="C56" s="60" t="s">
        <v>154</v>
      </c>
      <c r="D56" s="60" t="s">
        <v>6</v>
      </c>
      <c r="E56" s="61"/>
      <c r="F56" s="61"/>
      <c r="G56" s="61"/>
      <c r="H56" s="61" t="s">
        <v>155</v>
      </c>
      <c r="I56" s="42" t="str">
        <f aca="false">IF($D56="Yes", 1, "")</f>
        <v/>
      </c>
      <c r="J56" s="42" t="n">
        <f aca="false">IF($D56="No", 1, "")</f>
        <v>1</v>
      </c>
      <c r="K56" s="42" t="str">
        <f aca="false">IF($D56="Not Applicable", 1, "")</f>
        <v/>
      </c>
      <c r="L56" s="42" t="str">
        <f aca="false">IF($D56="Refer to comments", 1, "")</f>
        <v/>
      </c>
      <c r="M56" s="42" t="str">
        <f aca="false">IF($D56="Clarification required", 1, "")</f>
        <v/>
      </c>
      <c r="N56" s="5"/>
      <c r="O56" s="5"/>
      <c r="P56" s="5"/>
      <c r="Q56" s="5"/>
      <c r="R56" s="5"/>
      <c r="S56" s="5"/>
      <c r="T56" s="5"/>
      <c r="U56" s="5"/>
      <c r="V56" s="5"/>
      <c r="W56" s="5"/>
      <c r="X56" s="5"/>
      <c r="Y56" s="5"/>
      <c r="Z56" s="5"/>
    </row>
    <row r="57" customFormat="false" ht="13.5" hidden="false" customHeight="true" outlineLevel="0" collapsed="false">
      <c r="A57" s="39" t="n">
        <v>1</v>
      </c>
      <c r="B57" s="56" t="s">
        <v>156</v>
      </c>
      <c r="C57" s="56" t="s">
        <v>157</v>
      </c>
      <c r="D57" s="56" t="s">
        <v>6</v>
      </c>
      <c r="E57" s="57"/>
      <c r="F57" s="57"/>
      <c r="G57" s="57"/>
      <c r="H57" s="57" t="s">
        <v>158</v>
      </c>
      <c r="I57" s="42" t="str">
        <f aca="false">IF($D57="Yes", 1, "")</f>
        <v/>
      </c>
      <c r="J57" s="42" t="n">
        <f aca="false">IF($D57="No", 1, "")</f>
        <v>1</v>
      </c>
      <c r="K57" s="42" t="str">
        <f aca="false">IF($D57="Not Applicable", 1, "")</f>
        <v/>
      </c>
      <c r="L57" s="42" t="str">
        <f aca="false">IF($D57="Refer to comments", 1, "")</f>
        <v/>
      </c>
      <c r="M57" s="42" t="str">
        <f aca="false">IF($D57="Clarification required", 1, "")</f>
        <v/>
      </c>
      <c r="N57" s="5"/>
      <c r="O57" s="5"/>
      <c r="P57" s="5"/>
      <c r="Q57" s="5"/>
      <c r="R57" s="5"/>
      <c r="S57" s="5"/>
      <c r="T57" s="5"/>
      <c r="U57" s="5"/>
      <c r="V57" s="5"/>
      <c r="W57" s="5"/>
      <c r="X57" s="5"/>
      <c r="Y57" s="5"/>
      <c r="Z57" s="5"/>
    </row>
    <row r="58" customFormat="false" ht="13.5" hidden="false" customHeight="true" outlineLevel="0" collapsed="false">
      <c r="A58" s="39" t="n">
        <v>1</v>
      </c>
      <c r="B58" s="56" t="s">
        <v>159</v>
      </c>
      <c r="C58" s="56" t="s">
        <v>160</v>
      </c>
      <c r="D58" s="56" t="s">
        <v>6</v>
      </c>
      <c r="E58" s="57"/>
      <c r="F58" s="57"/>
      <c r="G58" s="57"/>
      <c r="H58" s="57" t="s">
        <v>161</v>
      </c>
      <c r="I58" s="42" t="str">
        <f aca="false">IF($D58="Yes", 1, "")</f>
        <v/>
      </c>
      <c r="J58" s="42" t="n">
        <f aca="false">IF($D58="No", 1, "")</f>
        <v>1</v>
      </c>
      <c r="K58" s="42" t="str">
        <f aca="false">IF($D58="Not Applicable", 1, "")</f>
        <v/>
      </c>
      <c r="L58" s="42" t="str">
        <f aca="false">IF($D58="Refer to comments", 1, "")</f>
        <v/>
      </c>
      <c r="M58" s="42" t="str">
        <f aca="false">IF($D58="Clarification required", 1, "")</f>
        <v/>
      </c>
      <c r="N58" s="5"/>
      <c r="O58" s="5"/>
      <c r="P58" s="5"/>
      <c r="Q58" s="5"/>
      <c r="R58" s="5"/>
      <c r="S58" s="5"/>
      <c r="T58" s="5"/>
      <c r="U58" s="5"/>
      <c r="V58" s="5"/>
      <c r="W58" s="5"/>
      <c r="X58" s="5"/>
      <c r="Y58" s="5"/>
      <c r="Z58" s="5"/>
    </row>
    <row r="59" customFormat="false" ht="13.5" hidden="false" customHeight="true" outlineLevel="0" collapsed="false">
      <c r="A59" s="39" t="n">
        <v>1</v>
      </c>
      <c r="B59" s="56" t="s">
        <v>162</v>
      </c>
      <c r="C59" s="56" t="s">
        <v>163</v>
      </c>
      <c r="D59" s="56" t="s">
        <v>6</v>
      </c>
      <c r="E59" s="57"/>
      <c r="F59" s="57"/>
      <c r="G59" s="57"/>
      <c r="H59" s="57" t="s">
        <v>164</v>
      </c>
      <c r="I59" s="42" t="str">
        <f aca="false">IF($D59="Yes", 1, "")</f>
        <v/>
      </c>
      <c r="J59" s="42" t="n">
        <f aca="false">IF($D59="No", 1, "")</f>
        <v>1</v>
      </c>
      <c r="K59" s="42" t="str">
        <f aca="false">IF($D59="Not Applicable", 1, "")</f>
        <v/>
      </c>
      <c r="L59" s="42" t="str">
        <f aca="false">IF($D59="Refer to comments", 1, "")</f>
        <v/>
      </c>
      <c r="M59" s="42" t="str">
        <f aca="false">IF($D59="Clarification required", 1, "")</f>
        <v/>
      </c>
      <c r="N59" s="5"/>
      <c r="O59" s="5"/>
      <c r="P59" s="5"/>
      <c r="Q59" s="5"/>
      <c r="R59" s="5"/>
      <c r="S59" s="5"/>
      <c r="T59" s="5"/>
      <c r="U59" s="5"/>
      <c r="V59" s="5"/>
      <c r="W59" s="5"/>
      <c r="X59" s="5"/>
      <c r="Y59" s="5"/>
      <c r="Z59" s="5"/>
    </row>
    <row r="60" customFormat="false" ht="13.5" hidden="false" customHeight="true" outlineLevel="0" collapsed="false">
      <c r="A60" s="39" t="n">
        <v>1</v>
      </c>
      <c r="B60" s="60" t="s">
        <v>165</v>
      </c>
      <c r="C60" s="60" t="s">
        <v>166</v>
      </c>
      <c r="D60" s="60" t="s">
        <v>8</v>
      </c>
      <c r="E60" s="61"/>
      <c r="F60" s="61"/>
      <c r="G60" s="61"/>
      <c r="H60" s="61" t="s">
        <v>167</v>
      </c>
      <c r="I60" s="42" t="str">
        <f aca="false">IF($D60="Yes", 1, "")</f>
        <v/>
      </c>
      <c r="J60" s="42" t="str">
        <f aca="false">IF($D60="No", 1, "")</f>
        <v/>
      </c>
      <c r="K60" s="42" t="str">
        <f aca="false">IF($D60="Not Applicable", 1, "")</f>
        <v/>
      </c>
      <c r="L60" s="42" t="n">
        <f aca="false">IF($D60="Refer to comments", 1, "")</f>
        <v>1</v>
      </c>
      <c r="M60" s="42" t="str">
        <f aca="false">IF($D60="Clarification required", 1, "")</f>
        <v/>
      </c>
      <c r="N60" s="5"/>
      <c r="O60" s="5"/>
      <c r="P60" s="5"/>
      <c r="Q60" s="5"/>
      <c r="R60" s="5"/>
      <c r="S60" s="5"/>
      <c r="T60" s="5"/>
      <c r="U60" s="5"/>
      <c r="V60" s="5"/>
      <c r="W60" s="5"/>
      <c r="X60" s="5"/>
      <c r="Y60" s="5"/>
      <c r="Z60" s="5"/>
    </row>
    <row r="61" customFormat="false" ht="13.5" hidden="false" customHeight="true" outlineLevel="0" collapsed="false">
      <c r="A61" s="39" t="n">
        <v>1</v>
      </c>
      <c r="B61" s="60" t="s">
        <v>168</v>
      </c>
      <c r="C61" s="60" t="s">
        <v>169</v>
      </c>
      <c r="D61" s="60" t="s">
        <v>6</v>
      </c>
      <c r="E61" s="61"/>
      <c r="F61" s="61"/>
      <c r="G61" s="61"/>
      <c r="H61" s="61" t="s">
        <v>170</v>
      </c>
      <c r="I61" s="42" t="str">
        <f aca="false">IF($D61="Yes", 1, "")</f>
        <v/>
      </c>
      <c r="J61" s="42" t="n">
        <f aca="false">IF($D61="No", 1, "")</f>
        <v>1</v>
      </c>
      <c r="K61" s="42" t="str">
        <f aca="false">IF($D61="Not Applicable", 1, "")</f>
        <v/>
      </c>
      <c r="L61" s="42" t="str">
        <f aca="false">IF($D61="Refer to comments", 1, "")</f>
        <v/>
      </c>
      <c r="M61" s="42" t="str">
        <f aca="false">IF($D61="Clarification required", 1, "")</f>
        <v/>
      </c>
      <c r="N61" s="5"/>
      <c r="O61" s="5"/>
      <c r="P61" s="5"/>
      <c r="Q61" s="5"/>
      <c r="R61" s="5"/>
      <c r="S61" s="5"/>
      <c r="T61" s="5"/>
      <c r="U61" s="5"/>
      <c r="V61" s="5"/>
      <c r="W61" s="5"/>
      <c r="X61" s="5"/>
      <c r="Y61" s="5"/>
      <c r="Z61" s="5"/>
    </row>
    <row r="62" customFormat="false" ht="13.5" hidden="false" customHeight="true" outlineLevel="0" collapsed="false">
      <c r="A62" s="39" t="n">
        <v>1</v>
      </c>
      <c r="B62" s="60" t="s">
        <v>171</v>
      </c>
      <c r="C62" s="60" t="s">
        <v>172</v>
      </c>
      <c r="D62" s="60" t="s">
        <v>8</v>
      </c>
      <c r="E62" s="61"/>
      <c r="F62" s="61"/>
      <c r="G62" s="61"/>
      <c r="H62" s="61" t="s">
        <v>173</v>
      </c>
      <c r="I62" s="42" t="str">
        <f aca="false">IF($D62="Yes", 1, "")</f>
        <v/>
      </c>
      <c r="J62" s="42" t="str">
        <f aca="false">IF($D62="No", 1, "")</f>
        <v/>
      </c>
      <c r="K62" s="42" t="str">
        <f aca="false">IF($D62="Not Applicable", 1, "")</f>
        <v/>
      </c>
      <c r="L62" s="42" t="n">
        <f aca="false">IF($D62="Refer to comments", 1, "")</f>
        <v>1</v>
      </c>
      <c r="M62" s="42" t="str">
        <f aca="false">IF($D62="Clarification required", 1, "")</f>
        <v/>
      </c>
      <c r="N62" s="5"/>
      <c r="O62" s="5"/>
      <c r="P62" s="5"/>
      <c r="Q62" s="5"/>
      <c r="R62" s="5"/>
      <c r="S62" s="5"/>
      <c r="T62" s="5"/>
      <c r="U62" s="5"/>
      <c r="V62" s="5"/>
      <c r="W62" s="5"/>
      <c r="X62" s="5"/>
      <c r="Y62" s="5"/>
      <c r="Z62" s="5"/>
    </row>
    <row r="63" customFormat="false" ht="13.5" hidden="false" customHeight="true" outlineLevel="0" collapsed="false">
      <c r="A63" s="39" t="n">
        <v>1</v>
      </c>
      <c r="B63" s="60" t="s">
        <v>174</v>
      </c>
      <c r="C63" s="60" t="s">
        <v>175</v>
      </c>
      <c r="D63" s="60" t="s">
        <v>6</v>
      </c>
      <c r="E63" s="61"/>
      <c r="F63" s="61"/>
      <c r="G63" s="61"/>
      <c r="H63" s="61" t="s">
        <v>176</v>
      </c>
      <c r="I63" s="42" t="str">
        <f aca="false">IF($D63="Yes", 1, "")</f>
        <v/>
      </c>
      <c r="J63" s="42" t="n">
        <f aca="false">IF($D63="No", 1, "")</f>
        <v>1</v>
      </c>
      <c r="K63" s="42" t="str">
        <f aca="false">IF($D63="Not Applicable", 1, "")</f>
        <v/>
      </c>
      <c r="L63" s="42" t="str">
        <f aca="false">IF($D63="Refer to comments", 1, "")</f>
        <v/>
      </c>
      <c r="M63" s="42" t="str">
        <f aca="false">IF($D63="Clarification required", 1, "")</f>
        <v/>
      </c>
      <c r="N63" s="5"/>
      <c r="O63" s="5"/>
      <c r="P63" s="5"/>
      <c r="Q63" s="5"/>
      <c r="R63" s="5"/>
      <c r="S63" s="5"/>
      <c r="T63" s="5"/>
      <c r="U63" s="5"/>
      <c r="V63" s="5"/>
      <c r="W63" s="5"/>
      <c r="X63" s="5"/>
      <c r="Y63" s="5"/>
      <c r="Z63" s="5"/>
    </row>
    <row r="64" customFormat="false" ht="13.5" hidden="false" customHeight="true" outlineLevel="0" collapsed="false">
      <c r="A64" s="39" t="n">
        <v>1</v>
      </c>
      <c r="B64" s="60" t="s">
        <v>177</v>
      </c>
      <c r="C64" s="60" t="s">
        <v>178</v>
      </c>
      <c r="D64" s="60" t="s">
        <v>8</v>
      </c>
      <c r="E64" s="61"/>
      <c r="F64" s="61"/>
      <c r="G64" s="61"/>
      <c r="H64" s="61" t="s">
        <v>179</v>
      </c>
      <c r="I64" s="42" t="str">
        <f aca="false">IF($D64="Yes", 1, "")</f>
        <v/>
      </c>
      <c r="J64" s="42" t="str">
        <f aca="false">IF($D64="No", 1, "")</f>
        <v/>
      </c>
      <c r="K64" s="42" t="str">
        <f aca="false">IF($D64="Not Applicable", 1, "")</f>
        <v/>
      </c>
      <c r="L64" s="42" t="n">
        <f aca="false">IF($D64="Refer to comments", 1, "")</f>
        <v>1</v>
      </c>
      <c r="M64" s="42" t="str">
        <f aca="false">IF($D64="Clarification required", 1, "")</f>
        <v/>
      </c>
      <c r="N64" s="5"/>
      <c r="O64" s="5"/>
      <c r="P64" s="5"/>
      <c r="Q64" s="5"/>
      <c r="R64" s="5"/>
      <c r="S64" s="5"/>
      <c r="T64" s="5"/>
      <c r="U64" s="5"/>
      <c r="V64" s="5"/>
      <c r="W64" s="5"/>
      <c r="X64" s="5"/>
      <c r="Y64" s="5"/>
      <c r="Z64" s="5"/>
    </row>
    <row r="65" customFormat="false" ht="13.5" hidden="false" customHeight="true" outlineLevel="0" collapsed="false">
      <c r="A65" s="39" t="n">
        <v>1</v>
      </c>
      <c r="B65" s="60" t="s">
        <v>180</v>
      </c>
      <c r="C65" s="60" t="s">
        <v>181</v>
      </c>
      <c r="D65" s="60" t="s">
        <v>6</v>
      </c>
      <c r="E65" s="61"/>
      <c r="F65" s="61"/>
      <c r="G65" s="61"/>
      <c r="H65" s="61" t="s">
        <v>182</v>
      </c>
      <c r="I65" s="42" t="str">
        <f aca="false">IF($D65="Yes", 1, "")</f>
        <v/>
      </c>
      <c r="J65" s="42" t="n">
        <f aca="false">IF($D65="No", 1, "")</f>
        <v>1</v>
      </c>
      <c r="K65" s="42" t="str">
        <f aca="false">IF($D65="Not Applicable", 1, "")</f>
        <v/>
      </c>
      <c r="L65" s="42" t="str">
        <f aca="false">IF($D65="Refer to comments", 1, "")</f>
        <v/>
      </c>
      <c r="M65" s="42" t="str">
        <f aca="false">IF($D65="Clarification required", 1, "")</f>
        <v/>
      </c>
      <c r="N65" s="5"/>
      <c r="O65" s="5"/>
      <c r="P65" s="5"/>
      <c r="Q65" s="5"/>
      <c r="R65" s="5"/>
      <c r="S65" s="5"/>
      <c r="T65" s="5"/>
      <c r="U65" s="5"/>
      <c r="V65" s="5"/>
      <c r="W65" s="5"/>
      <c r="X65" s="5"/>
      <c r="Y65" s="5"/>
      <c r="Z65" s="5"/>
    </row>
    <row r="66" customFormat="false" ht="13.5" hidden="false" customHeight="true" outlineLevel="0" collapsed="false">
      <c r="A66" s="39" t="n">
        <v>1</v>
      </c>
      <c r="B66" s="56" t="s">
        <v>183</v>
      </c>
      <c r="C66" s="56" t="s">
        <v>184</v>
      </c>
      <c r="D66" s="56" t="s">
        <v>6</v>
      </c>
      <c r="E66" s="57"/>
      <c r="F66" s="57"/>
      <c r="G66" s="57"/>
      <c r="H66" s="57" t="s">
        <v>185</v>
      </c>
      <c r="I66" s="42" t="str">
        <f aca="false">IF($D66="Yes", 1, "")</f>
        <v/>
      </c>
      <c r="J66" s="42" t="n">
        <f aca="false">IF($D66="No", 1, "")</f>
        <v>1</v>
      </c>
      <c r="K66" s="42" t="str">
        <f aca="false">IF($D66="Not Applicable", 1, "")</f>
        <v/>
      </c>
      <c r="L66" s="42" t="str">
        <f aca="false">IF($D66="Refer to comments", 1, "")</f>
        <v/>
      </c>
      <c r="M66" s="42" t="str">
        <f aca="false">IF($D66="Clarification required", 1, "")</f>
        <v/>
      </c>
      <c r="N66" s="5"/>
      <c r="O66" s="5"/>
      <c r="P66" s="5"/>
      <c r="Q66" s="5"/>
      <c r="R66" s="5"/>
      <c r="S66" s="5"/>
      <c r="T66" s="5"/>
      <c r="U66" s="5"/>
      <c r="V66" s="5"/>
      <c r="W66" s="5"/>
      <c r="X66" s="5"/>
      <c r="Y66" s="5"/>
      <c r="Z66" s="5"/>
    </row>
    <row r="67" customFormat="false" ht="13.5" hidden="false" customHeight="true" outlineLevel="0" collapsed="false">
      <c r="A67" s="39" t="n">
        <v>1</v>
      </c>
      <c r="B67" s="56" t="s">
        <v>186</v>
      </c>
      <c r="C67" s="56" t="s">
        <v>187</v>
      </c>
      <c r="D67" s="56" t="s">
        <v>6</v>
      </c>
      <c r="E67" s="57"/>
      <c r="F67" s="57"/>
      <c r="G67" s="57"/>
      <c r="H67" s="57" t="s">
        <v>188</v>
      </c>
      <c r="I67" s="42" t="str">
        <f aca="false">IF($D67="Yes", 1, "")</f>
        <v/>
      </c>
      <c r="J67" s="42" t="n">
        <f aca="false">IF($D67="No", 1, "")</f>
        <v>1</v>
      </c>
      <c r="K67" s="42" t="str">
        <f aca="false">IF($D67="Not Applicable", 1, "")</f>
        <v/>
      </c>
      <c r="L67" s="42" t="str">
        <f aca="false">IF($D67="Refer to comments", 1, "")</f>
        <v/>
      </c>
      <c r="M67" s="42" t="str">
        <f aca="false">IF($D67="Clarification required", 1, "")</f>
        <v/>
      </c>
      <c r="N67" s="5"/>
      <c r="O67" s="5"/>
      <c r="P67" s="5"/>
      <c r="Q67" s="5"/>
      <c r="R67" s="5"/>
      <c r="S67" s="5"/>
      <c r="T67" s="5"/>
      <c r="U67" s="5"/>
      <c r="V67" s="5"/>
      <c r="W67" s="5"/>
      <c r="X67" s="5"/>
      <c r="Y67" s="5"/>
      <c r="Z67" s="5"/>
    </row>
    <row r="68" customFormat="false" ht="13.5" hidden="false" customHeight="true" outlineLevel="0" collapsed="false">
      <c r="A68" s="39" t="n">
        <v>1</v>
      </c>
      <c r="B68" s="56" t="s">
        <v>189</v>
      </c>
      <c r="C68" s="56" t="s">
        <v>190</v>
      </c>
      <c r="D68" s="56" t="s">
        <v>6</v>
      </c>
      <c r="E68" s="57"/>
      <c r="F68" s="57"/>
      <c r="G68" s="57"/>
      <c r="H68" s="57" t="s">
        <v>191</v>
      </c>
      <c r="I68" s="42" t="str">
        <f aca="false">IF($D68="Yes", 1, "")</f>
        <v/>
      </c>
      <c r="J68" s="42" t="n">
        <f aca="false">IF($D68="No", 1, "")</f>
        <v>1</v>
      </c>
      <c r="K68" s="42" t="str">
        <f aca="false">IF($D68="Not Applicable", 1, "")</f>
        <v/>
      </c>
      <c r="L68" s="42" t="str">
        <f aca="false">IF($D68="Refer to comments", 1, "")</f>
        <v/>
      </c>
      <c r="M68" s="42" t="str">
        <f aca="false">IF($D68="Clarification required", 1, "")</f>
        <v/>
      </c>
      <c r="N68" s="5"/>
      <c r="O68" s="5"/>
      <c r="P68" s="5"/>
      <c r="Q68" s="5"/>
      <c r="R68" s="5"/>
      <c r="S68" s="5"/>
      <c r="T68" s="5"/>
      <c r="U68" s="5"/>
      <c r="V68" s="5"/>
      <c r="W68" s="5"/>
      <c r="X68" s="5"/>
      <c r="Y68" s="5"/>
      <c r="Z68" s="5"/>
    </row>
    <row r="69" customFormat="false" ht="13.5" hidden="false" customHeight="true" outlineLevel="0" collapsed="false">
      <c r="A69" s="39" t="n">
        <v>1</v>
      </c>
      <c r="B69" s="60" t="s">
        <v>192</v>
      </c>
      <c r="C69" s="60" t="s">
        <v>193</v>
      </c>
      <c r="D69" s="60" t="s">
        <v>8</v>
      </c>
      <c r="E69" s="61"/>
      <c r="F69" s="61"/>
      <c r="G69" s="61"/>
      <c r="H69" s="61" t="s">
        <v>194</v>
      </c>
      <c r="I69" s="42" t="str">
        <f aca="false">IF($D69="Yes", 1, "")</f>
        <v/>
      </c>
      <c r="J69" s="42" t="str">
        <f aca="false">IF($D69="No", 1, "")</f>
        <v/>
      </c>
      <c r="K69" s="42" t="str">
        <f aca="false">IF($D69="Not Applicable", 1, "")</f>
        <v/>
      </c>
      <c r="L69" s="42" t="n">
        <f aca="false">IF($D69="Refer to comments", 1, "")</f>
        <v>1</v>
      </c>
      <c r="M69" s="42" t="str">
        <f aca="false">IF($D69="Clarification required", 1, "")</f>
        <v/>
      </c>
      <c r="N69" s="5"/>
      <c r="O69" s="5"/>
      <c r="P69" s="5"/>
      <c r="Q69" s="5"/>
      <c r="R69" s="5"/>
      <c r="S69" s="5"/>
      <c r="T69" s="5"/>
      <c r="U69" s="5"/>
      <c r="V69" s="5"/>
      <c r="W69" s="5"/>
      <c r="X69" s="5"/>
      <c r="Y69" s="5"/>
      <c r="Z69" s="5"/>
    </row>
    <row r="70" customFormat="false" ht="13.5" hidden="false" customHeight="true" outlineLevel="0" collapsed="false">
      <c r="A70" s="39" t="n">
        <v>1</v>
      </c>
      <c r="B70" s="60" t="s">
        <v>195</v>
      </c>
      <c r="C70" s="60" t="s">
        <v>196</v>
      </c>
      <c r="D70" s="60" t="s">
        <v>6</v>
      </c>
      <c r="E70" s="61"/>
      <c r="F70" s="61"/>
      <c r="G70" s="61"/>
      <c r="H70" s="61" t="s">
        <v>197</v>
      </c>
      <c r="I70" s="42" t="str">
        <f aca="false">IF($D70="Yes", 1, "")</f>
        <v/>
      </c>
      <c r="J70" s="42" t="n">
        <f aca="false">IF($D70="No", 1, "")</f>
        <v>1</v>
      </c>
      <c r="K70" s="42" t="str">
        <f aca="false">IF($D70="Not Applicable", 1, "")</f>
        <v/>
      </c>
      <c r="L70" s="42" t="str">
        <f aca="false">IF($D70="Refer to comments", 1, "")</f>
        <v/>
      </c>
      <c r="M70" s="42" t="str">
        <f aca="false">IF($D70="Clarification required", 1, "")</f>
        <v/>
      </c>
      <c r="N70" s="5"/>
      <c r="O70" s="5"/>
      <c r="P70" s="5"/>
      <c r="Q70" s="5"/>
      <c r="R70" s="5"/>
      <c r="S70" s="5"/>
      <c r="T70" s="5"/>
      <c r="U70" s="5"/>
      <c r="V70" s="5"/>
      <c r="W70" s="5"/>
      <c r="X70" s="5"/>
      <c r="Y70" s="5"/>
      <c r="Z70" s="5"/>
    </row>
    <row r="71" customFormat="false" ht="13.5" hidden="false" customHeight="true" outlineLevel="0" collapsed="false">
      <c r="A71" s="39" t="n">
        <v>1</v>
      </c>
      <c r="B71" s="56" t="s">
        <v>198</v>
      </c>
      <c r="C71" s="56" t="s">
        <v>199</v>
      </c>
      <c r="D71" s="56" t="s">
        <v>6</v>
      </c>
      <c r="E71" s="57"/>
      <c r="F71" s="57"/>
      <c r="G71" s="57"/>
      <c r="H71" s="57" t="s">
        <v>200</v>
      </c>
      <c r="I71" s="42" t="str">
        <f aca="false">IF($D71="Yes", 1, "")</f>
        <v/>
      </c>
      <c r="J71" s="42" t="n">
        <f aca="false">IF($D71="No", 1, "")</f>
        <v>1</v>
      </c>
      <c r="K71" s="42" t="str">
        <f aca="false">IF($D71="Not Applicable", 1, "")</f>
        <v/>
      </c>
      <c r="L71" s="42" t="str">
        <f aca="false">IF($D71="Refer to comments", 1, "")</f>
        <v/>
      </c>
      <c r="M71" s="42" t="str">
        <f aca="false">IF($D71="Clarification required", 1, "")</f>
        <v/>
      </c>
      <c r="N71" s="5"/>
      <c r="O71" s="5"/>
      <c r="P71" s="5"/>
      <c r="Q71" s="5"/>
      <c r="R71" s="5"/>
      <c r="S71" s="5"/>
      <c r="T71" s="5"/>
      <c r="U71" s="5"/>
      <c r="V71" s="5"/>
      <c r="W71" s="5"/>
      <c r="X71" s="5"/>
      <c r="Y71" s="5"/>
      <c r="Z71" s="5"/>
    </row>
    <row r="72" customFormat="false" ht="13.5" hidden="false" customHeight="true" outlineLevel="0" collapsed="false">
      <c r="A72" s="39" t="n">
        <v>1</v>
      </c>
      <c r="B72" s="56" t="s">
        <v>201</v>
      </c>
      <c r="C72" s="56" t="s">
        <v>202</v>
      </c>
      <c r="D72" s="56" t="s">
        <v>6</v>
      </c>
      <c r="E72" s="57"/>
      <c r="F72" s="57"/>
      <c r="G72" s="57"/>
      <c r="H72" s="57" t="s">
        <v>203</v>
      </c>
      <c r="I72" s="42" t="str">
        <f aca="false">IF($D72="Yes", 1, "")</f>
        <v/>
      </c>
      <c r="J72" s="42" t="n">
        <f aca="false">IF($D72="No", 1, "")</f>
        <v>1</v>
      </c>
      <c r="K72" s="42" t="str">
        <f aca="false">IF($D72="Not Applicable", 1, "")</f>
        <v/>
      </c>
      <c r="L72" s="42" t="str">
        <f aca="false">IF($D72="Refer to comments", 1, "")</f>
        <v/>
      </c>
      <c r="M72" s="42" t="str">
        <f aca="false">IF($D72="Clarification required", 1, "")</f>
        <v/>
      </c>
      <c r="N72" s="5"/>
      <c r="O72" s="5"/>
      <c r="P72" s="5"/>
      <c r="Q72" s="5"/>
      <c r="R72" s="5"/>
      <c r="S72" s="5"/>
      <c r="T72" s="5"/>
      <c r="U72" s="5"/>
      <c r="V72" s="5"/>
      <c r="W72" s="5"/>
      <c r="X72" s="5"/>
      <c r="Y72" s="5"/>
      <c r="Z72" s="5"/>
    </row>
    <row r="73" customFormat="false" ht="13.5" hidden="false" customHeight="true" outlineLevel="0" collapsed="false">
      <c r="A73" s="39" t="n">
        <v>1</v>
      </c>
      <c r="B73" s="56" t="s">
        <v>204</v>
      </c>
      <c r="C73" s="56" t="s">
        <v>205</v>
      </c>
      <c r="D73" s="56" t="s">
        <v>6</v>
      </c>
      <c r="E73" s="57"/>
      <c r="F73" s="57"/>
      <c r="G73" s="57"/>
      <c r="H73" s="57" t="s">
        <v>206</v>
      </c>
      <c r="I73" s="42" t="str">
        <f aca="false">IF($D73="Yes", 1, "")</f>
        <v/>
      </c>
      <c r="J73" s="42" t="n">
        <f aca="false">IF($D73="No", 1, "")</f>
        <v>1</v>
      </c>
      <c r="K73" s="42" t="str">
        <f aca="false">IF($D73="Not Applicable", 1, "")</f>
        <v/>
      </c>
      <c r="L73" s="42" t="str">
        <f aca="false">IF($D73="Refer to comments", 1, "")</f>
        <v/>
      </c>
      <c r="M73" s="42" t="str">
        <f aca="false">IF($D73="Clarification required", 1, "")</f>
        <v/>
      </c>
      <c r="N73" s="5"/>
      <c r="O73" s="5"/>
      <c r="P73" s="5"/>
      <c r="Q73" s="5"/>
      <c r="R73" s="5"/>
      <c r="S73" s="5"/>
      <c r="T73" s="5"/>
      <c r="U73" s="5"/>
      <c r="V73" s="5"/>
      <c r="W73" s="5"/>
      <c r="X73" s="5"/>
      <c r="Y73" s="5"/>
      <c r="Z73" s="5"/>
    </row>
    <row r="74" customFormat="false" ht="13.5" hidden="false" customHeight="true" outlineLevel="0" collapsed="false">
      <c r="A74" s="39" t="n">
        <v>1</v>
      </c>
      <c r="B74" s="56" t="s">
        <v>207</v>
      </c>
      <c r="C74" s="56" t="s">
        <v>208</v>
      </c>
      <c r="D74" s="56" t="s">
        <v>6</v>
      </c>
      <c r="E74" s="57"/>
      <c r="F74" s="57"/>
      <c r="G74" s="57"/>
      <c r="H74" s="57" t="s">
        <v>206</v>
      </c>
      <c r="I74" s="42" t="str">
        <f aca="false">IF($D74="Yes", 1, "")</f>
        <v/>
      </c>
      <c r="J74" s="42" t="n">
        <f aca="false">IF($D74="No", 1, "")</f>
        <v>1</v>
      </c>
      <c r="K74" s="42" t="str">
        <f aca="false">IF($D74="Not Applicable", 1, "")</f>
        <v/>
      </c>
      <c r="L74" s="42" t="str">
        <f aca="false">IF($D74="Refer to comments", 1, "")</f>
        <v/>
      </c>
      <c r="M74" s="42" t="str">
        <f aca="false">IF($D74="Clarification required", 1, "")</f>
        <v/>
      </c>
      <c r="N74" s="5"/>
      <c r="O74" s="5"/>
      <c r="P74" s="5"/>
      <c r="Q74" s="5"/>
      <c r="R74" s="5"/>
      <c r="S74" s="5"/>
      <c r="T74" s="5"/>
      <c r="U74" s="5"/>
      <c r="V74" s="5"/>
      <c r="W74" s="5"/>
      <c r="X74" s="5"/>
      <c r="Y74" s="5"/>
      <c r="Z74" s="5"/>
    </row>
    <row r="75" customFormat="false" ht="13.5" hidden="false" customHeight="true" outlineLevel="0" collapsed="false">
      <c r="A75" s="39" t="n">
        <v>1</v>
      </c>
      <c r="B75" s="60" t="s">
        <v>209</v>
      </c>
      <c r="C75" s="60" t="s">
        <v>210</v>
      </c>
      <c r="D75" s="60" t="s">
        <v>6</v>
      </c>
      <c r="E75" s="61"/>
      <c r="F75" s="61"/>
      <c r="G75" s="61"/>
      <c r="H75" s="61" t="s">
        <v>211</v>
      </c>
      <c r="I75" s="42" t="str">
        <f aca="false">IF($D75="Yes", 1, "")</f>
        <v/>
      </c>
      <c r="J75" s="42" t="n">
        <f aca="false">IF($D75="No", 1, "")</f>
        <v>1</v>
      </c>
      <c r="K75" s="42" t="str">
        <f aca="false">IF($D75="Not Applicable", 1, "")</f>
        <v/>
      </c>
      <c r="L75" s="42" t="str">
        <f aca="false">IF($D75="Refer to comments", 1, "")</f>
        <v/>
      </c>
      <c r="M75" s="42" t="str">
        <f aca="false">IF($D75="Clarification required", 1, "")</f>
        <v/>
      </c>
      <c r="N75" s="5"/>
      <c r="O75" s="5"/>
      <c r="P75" s="5"/>
      <c r="Q75" s="5"/>
      <c r="R75" s="5"/>
      <c r="S75" s="5"/>
      <c r="T75" s="5"/>
      <c r="U75" s="5"/>
      <c r="V75" s="5"/>
      <c r="W75" s="5"/>
      <c r="X75" s="5"/>
      <c r="Y75" s="5"/>
      <c r="Z75" s="5"/>
    </row>
    <row r="76" customFormat="false" ht="13.5" hidden="false" customHeight="true" outlineLevel="0" collapsed="false">
      <c r="A76" s="39" t="n">
        <v>1</v>
      </c>
      <c r="B76" s="60" t="s">
        <v>212</v>
      </c>
      <c r="C76" s="60" t="s">
        <v>213</v>
      </c>
      <c r="D76" s="60" t="s">
        <v>6</v>
      </c>
      <c r="E76" s="61"/>
      <c r="F76" s="61"/>
      <c r="G76" s="61"/>
      <c r="H76" s="61" t="s">
        <v>214</v>
      </c>
      <c r="I76" s="42" t="str">
        <f aca="false">IF($D76="Yes", 1, "")</f>
        <v/>
      </c>
      <c r="J76" s="42" t="n">
        <f aca="false">IF($D76="No", 1, "")</f>
        <v>1</v>
      </c>
      <c r="K76" s="42" t="str">
        <f aca="false">IF($D76="Not Applicable", 1, "")</f>
        <v/>
      </c>
      <c r="L76" s="42" t="str">
        <f aca="false">IF($D76="Refer to comments", 1, "")</f>
        <v/>
      </c>
      <c r="M76" s="42" t="str">
        <f aca="false">IF($D76="Clarification required", 1, "")</f>
        <v/>
      </c>
      <c r="N76" s="5"/>
      <c r="O76" s="5"/>
      <c r="P76" s="5"/>
      <c r="Q76" s="5"/>
      <c r="R76" s="5"/>
      <c r="S76" s="5"/>
      <c r="T76" s="5"/>
      <c r="U76" s="5"/>
      <c r="V76" s="5"/>
      <c r="W76" s="5"/>
      <c r="X76" s="5"/>
      <c r="Y76" s="5"/>
      <c r="Z76" s="5"/>
    </row>
    <row r="77" customFormat="false" ht="13.5" hidden="false" customHeight="true" outlineLevel="0" collapsed="false">
      <c r="A77" s="39" t="n">
        <v>1</v>
      </c>
      <c r="B77" s="56" t="s">
        <v>215</v>
      </c>
      <c r="C77" s="56" t="s">
        <v>216</v>
      </c>
      <c r="D77" s="56" t="s">
        <v>8</v>
      </c>
      <c r="E77" s="57"/>
      <c r="F77" s="57"/>
      <c r="G77" s="57"/>
      <c r="H77" s="57" t="s">
        <v>217</v>
      </c>
      <c r="I77" s="42" t="str">
        <f aca="false">IF($D77="Yes", 1, "")</f>
        <v/>
      </c>
      <c r="J77" s="42" t="str">
        <f aca="false">IF($D77="No", 1, "")</f>
        <v/>
      </c>
      <c r="K77" s="42" t="str">
        <f aca="false">IF($D77="Not Applicable", 1, "")</f>
        <v/>
      </c>
      <c r="L77" s="42" t="n">
        <f aca="false">IF($D77="Refer to comments", 1, "")</f>
        <v>1</v>
      </c>
      <c r="M77" s="42" t="str">
        <f aca="false">IF($D77="Clarification required", 1, "")</f>
        <v/>
      </c>
      <c r="N77" s="5"/>
      <c r="O77" s="5"/>
      <c r="P77" s="5"/>
      <c r="Q77" s="5"/>
      <c r="R77" s="5"/>
      <c r="S77" s="5"/>
      <c r="T77" s="5"/>
      <c r="U77" s="5"/>
      <c r="V77" s="5"/>
      <c r="W77" s="5"/>
      <c r="X77" s="5"/>
      <c r="Y77" s="5"/>
      <c r="Z77" s="5"/>
    </row>
    <row r="78" customFormat="false" ht="13.5" hidden="false" customHeight="true" outlineLevel="0" collapsed="false">
      <c r="A78" s="39" t="n">
        <v>1</v>
      </c>
      <c r="B78" s="56" t="s">
        <v>218</v>
      </c>
      <c r="C78" s="56" t="s">
        <v>219</v>
      </c>
      <c r="D78" s="56" t="s">
        <v>6</v>
      </c>
      <c r="E78" s="57"/>
      <c r="F78" s="57"/>
      <c r="G78" s="57"/>
      <c r="H78" s="57" t="s">
        <v>220</v>
      </c>
      <c r="I78" s="42" t="str">
        <f aca="false">IF($D78="Yes", 1, "")</f>
        <v/>
      </c>
      <c r="J78" s="42" t="n">
        <f aca="false">IF($D78="No", 1, "")</f>
        <v>1</v>
      </c>
      <c r="K78" s="42" t="str">
        <f aca="false">IF($D78="Not Applicable", 1, "")</f>
        <v/>
      </c>
      <c r="L78" s="42" t="str">
        <f aca="false">IF($D78="Refer to comments", 1, "")</f>
        <v/>
      </c>
      <c r="M78" s="42" t="str">
        <f aca="false">IF($D78="Clarification required", 1, "")</f>
        <v/>
      </c>
      <c r="N78" s="5"/>
      <c r="O78" s="5"/>
      <c r="P78" s="5"/>
      <c r="Q78" s="5"/>
      <c r="R78" s="5"/>
      <c r="S78" s="5"/>
      <c r="T78" s="5"/>
      <c r="U78" s="5"/>
      <c r="V78" s="5"/>
      <c r="W78" s="5"/>
      <c r="X78" s="5"/>
      <c r="Y78" s="5"/>
      <c r="Z78" s="5"/>
    </row>
    <row r="79" customFormat="false" ht="13.5" hidden="false" customHeight="true" outlineLevel="0" collapsed="false">
      <c r="A79" s="39" t="n">
        <v>1</v>
      </c>
      <c r="B79" s="60" t="s">
        <v>221</v>
      </c>
      <c r="C79" s="60" t="s">
        <v>222</v>
      </c>
      <c r="D79" s="60" t="s">
        <v>8</v>
      </c>
      <c r="E79" s="61"/>
      <c r="F79" s="61"/>
      <c r="G79" s="61"/>
      <c r="H79" s="61" t="s">
        <v>223</v>
      </c>
      <c r="I79" s="42" t="str">
        <f aca="false">IF($D79="Yes", 1, "")</f>
        <v/>
      </c>
      <c r="J79" s="42" t="str">
        <f aca="false">IF($D79="No", 1, "")</f>
        <v/>
      </c>
      <c r="K79" s="42" t="str">
        <f aca="false">IF($D79="Not Applicable", 1, "")</f>
        <v/>
      </c>
      <c r="L79" s="42" t="n">
        <f aca="false">IF($D79="Refer to comments", 1, "")</f>
        <v>1</v>
      </c>
      <c r="M79" s="42" t="str">
        <f aca="false">IF($D79="Clarification required", 1, "")</f>
        <v/>
      </c>
      <c r="N79" s="5"/>
      <c r="O79" s="5"/>
      <c r="P79" s="5"/>
      <c r="Q79" s="5"/>
      <c r="R79" s="5"/>
      <c r="S79" s="5"/>
      <c r="T79" s="5"/>
      <c r="U79" s="5"/>
      <c r="V79" s="5"/>
      <c r="W79" s="5"/>
      <c r="X79" s="5"/>
      <c r="Y79" s="5"/>
      <c r="Z79" s="5"/>
    </row>
    <row r="80" customFormat="false" ht="13.5" hidden="false" customHeight="true" outlineLevel="0" collapsed="false">
      <c r="A80" s="39" t="n">
        <v>1</v>
      </c>
      <c r="B80" s="60" t="s">
        <v>224</v>
      </c>
      <c r="C80" s="60" t="s">
        <v>225</v>
      </c>
      <c r="D80" s="60" t="s">
        <v>6</v>
      </c>
      <c r="E80" s="61"/>
      <c r="F80" s="61"/>
      <c r="G80" s="61"/>
      <c r="H80" s="61" t="s">
        <v>226</v>
      </c>
      <c r="I80" s="42" t="str">
        <f aca="false">IF($D80="Yes", 1, "")</f>
        <v/>
      </c>
      <c r="J80" s="42" t="n">
        <f aca="false">IF($D80="No", 1, "")</f>
        <v>1</v>
      </c>
      <c r="K80" s="42" t="str">
        <f aca="false">IF($D80="Not Applicable", 1, "")</f>
        <v/>
      </c>
      <c r="L80" s="42" t="str">
        <f aca="false">IF($D80="Refer to comments", 1, "")</f>
        <v/>
      </c>
      <c r="M80" s="42" t="str">
        <f aca="false">IF($D80="Clarification required", 1, "")</f>
        <v/>
      </c>
      <c r="N80" s="5"/>
      <c r="O80" s="5"/>
      <c r="P80" s="5"/>
      <c r="Q80" s="5"/>
      <c r="R80" s="5"/>
      <c r="S80" s="5"/>
      <c r="T80" s="5"/>
      <c r="U80" s="5"/>
      <c r="V80" s="5"/>
      <c r="W80" s="5"/>
      <c r="X80" s="5"/>
      <c r="Y80" s="5"/>
      <c r="Z80" s="5"/>
    </row>
    <row r="81" customFormat="false" ht="13.5" hidden="false" customHeight="true" outlineLevel="0" collapsed="false">
      <c r="A81" s="39" t="n">
        <v>1</v>
      </c>
      <c r="B81" s="56" t="n">
        <v>5.16</v>
      </c>
      <c r="C81" s="56" t="s">
        <v>227</v>
      </c>
      <c r="D81" s="56" t="s">
        <v>8</v>
      </c>
      <c r="E81" s="57"/>
      <c r="F81" s="57"/>
      <c r="G81" s="57"/>
      <c r="H81" s="57" t="s">
        <v>228</v>
      </c>
      <c r="I81" s="42" t="str">
        <f aca="false">IF($D81="Yes", 1, "")</f>
        <v/>
      </c>
      <c r="J81" s="42" t="str">
        <f aca="false">IF($D81="No", 1, "")</f>
        <v/>
      </c>
      <c r="K81" s="42" t="str">
        <f aca="false">IF($D81="Not Applicable", 1, "")</f>
        <v/>
      </c>
      <c r="L81" s="42" t="n">
        <f aca="false">IF($D81="Refer to comments", 1, "")</f>
        <v>1</v>
      </c>
      <c r="M81" s="42" t="str">
        <f aca="false">IF($D81="Clarification required", 1, "")</f>
        <v/>
      </c>
      <c r="N81" s="5"/>
      <c r="O81" s="5"/>
      <c r="P81" s="5"/>
      <c r="Q81" s="5"/>
      <c r="R81" s="5"/>
      <c r="S81" s="5"/>
      <c r="T81" s="5"/>
      <c r="U81" s="5"/>
      <c r="V81" s="5"/>
      <c r="W81" s="5"/>
      <c r="X81" s="5"/>
      <c r="Y81" s="5"/>
      <c r="Z81" s="5"/>
    </row>
    <row r="82" customFormat="false" ht="13.5" hidden="false" customHeight="true" outlineLevel="0" collapsed="false">
      <c r="A82" s="39" t="n">
        <v>1</v>
      </c>
      <c r="B82" s="60" t="s">
        <v>229</v>
      </c>
      <c r="C82" s="60" t="s">
        <v>230</v>
      </c>
      <c r="D82" s="60" t="s">
        <v>6</v>
      </c>
      <c r="E82" s="61"/>
      <c r="F82" s="61"/>
      <c r="G82" s="61"/>
      <c r="H82" s="61" t="s">
        <v>231</v>
      </c>
      <c r="I82" s="42" t="str">
        <f aca="false">IF($D82="Yes", 1, "")</f>
        <v/>
      </c>
      <c r="J82" s="42" t="n">
        <f aca="false">IF($D82="No", 1, "")</f>
        <v>1</v>
      </c>
      <c r="K82" s="42" t="str">
        <f aca="false">IF($D82="Not Applicable", 1, "")</f>
        <v/>
      </c>
      <c r="L82" s="42" t="str">
        <f aca="false">IF($D82="Refer to comments", 1, "")</f>
        <v/>
      </c>
      <c r="M82" s="42" t="str">
        <f aca="false">IF($D82="Clarification required", 1, "")</f>
        <v/>
      </c>
      <c r="N82" s="5"/>
      <c r="O82" s="5"/>
      <c r="P82" s="5"/>
      <c r="Q82" s="5"/>
      <c r="R82" s="5"/>
      <c r="S82" s="5"/>
      <c r="T82" s="5"/>
      <c r="U82" s="5"/>
      <c r="V82" s="5"/>
      <c r="W82" s="5"/>
      <c r="X82" s="5"/>
      <c r="Y82" s="5"/>
      <c r="Z82" s="5"/>
    </row>
    <row r="83" customFormat="false" ht="13.5" hidden="false" customHeight="true" outlineLevel="0" collapsed="false">
      <c r="A83" s="39" t="n">
        <v>1</v>
      </c>
      <c r="B83" s="60" t="s">
        <v>232</v>
      </c>
      <c r="C83" s="60" t="s">
        <v>233</v>
      </c>
      <c r="D83" s="60" t="s">
        <v>6</v>
      </c>
      <c r="E83" s="61"/>
      <c r="F83" s="61"/>
      <c r="G83" s="61"/>
      <c r="H83" s="61" t="s">
        <v>234</v>
      </c>
      <c r="I83" s="42" t="str">
        <f aca="false">IF($D83="Yes", 1, "")</f>
        <v/>
      </c>
      <c r="J83" s="42" t="n">
        <f aca="false">IF($D83="No", 1, "")</f>
        <v>1</v>
      </c>
      <c r="K83" s="42" t="str">
        <f aca="false">IF($D83="Not Applicable", 1, "")</f>
        <v/>
      </c>
      <c r="L83" s="42" t="str">
        <f aca="false">IF($D83="Refer to comments", 1, "")</f>
        <v/>
      </c>
      <c r="M83" s="42" t="str">
        <f aca="false">IF($D83="Clarification required", 1, "")</f>
        <v/>
      </c>
      <c r="N83" s="5"/>
      <c r="O83" s="5"/>
      <c r="P83" s="5"/>
      <c r="Q83" s="5"/>
      <c r="R83" s="5"/>
      <c r="S83" s="5"/>
      <c r="T83" s="5"/>
      <c r="U83" s="5"/>
      <c r="V83" s="5"/>
      <c r="W83" s="5"/>
      <c r="X83" s="5"/>
      <c r="Y83" s="5"/>
      <c r="Z83" s="5"/>
    </row>
    <row r="84" customFormat="false" ht="13.5" hidden="false" customHeight="true" outlineLevel="0" collapsed="false">
      <c r="A84" s="39" t="n">
        <v>1</v>
      </c>
      <c r="B84" s="60" t="s">
        <v>235</v>
      </c>
      <c r="C84" s="60" t="s">
        <v>236</v>
      </c>
      <c r="D84" s="60" t="s">
        <v>6</v>
      </c>
      <c r="E84" s="61"/>
      <c r="F84" s="61"/>
      <c r="G84" s="61"/>
      <c r="H84" s="61" t="s">
        <v>237</v>
      </c>
      <c r="I84" s="42" t="str">
        <f aca="false">IF($D84="Yes", 1, "")</f>
        <v/>
      </c>
      <c r="J84" s="42" t="n">
        <f aca="false">IF($D84="No", 1, "")</f>
        <v>1</v>
      </c>
      <c r="K84" s="42" t="str">
        <f aca="false">IF($D84="Not Applicable", 1, "")</f>
        <v/>
      </c>
      <c r="L84" s="42" t="str">
        <f aca="false">IF($D84="Refer to comments", 1, "")</f>
        <v/>
      </c>
      <c r="M84" s="42" t="str">
        <f aca="false">IF($D84="Clarification required", 1, "")</f>
        <v/>
      </c>
      <c r="N84" s="5"/>
      <c r="O84" s="5"/>
      <c r="P84" s="5"/>
      <c r="Q84" s="5"/>
      <c r="R84" s="5"/>
      <c r="S84" s="5"/>
      <c r="T84" s="5"/>
      <c r="U84" s="5"/>
      <c r="V84" s="5"/>
      <c r="W84" s="5"/>
      <c r="X84" s="5"/>
      <c r="Y84" s="5"/>
      <c r="Z84" s="5"/>
    </row>
    <row r="85" customFormat="false" ht="13.5" hidden="false" customHeight="true" outlineLevel="0" collapsed="false">
      <c r="A85" s="39" t="n">
        <v>1</v>
      </c>
      <c r="B85" s="60" t="s">
        <v>238</v>
      </c>
      <c r="C85" s="60" t="s">
        <v>239</v>
      </c>
      <c r="D85" s="60" t="s">
        <v>8</v>
      </c>
      <c r="E85" s="61"/>
      <c r="F85" s="61"/>
      <c r="G85" s="61"/>
      <c r="H85" s="61" t="s">
        <v>240</v>
      </c>
      <c r="I85" s="42" t="str">
        <f aca="false">IF($D85="Yes", 1, "")</f>
        <v/>
      </c>
      <c r="J85" s="42" t="str">
        <f aca="false">IF($D85="No", 1, "")</f>
        <v/>
      </c>
      <c r="K85" s="42" t="str">
        <f aca="false">IF($D85="Not Applicable", 1, "")</f>
        <v/>
      </c>
      <c r="L85" s="42" t="n">
        <f aca="false">IF($D85="Refer to comments", 1, "")</f>
        <v>1</v>
      </c>
      <c r="M85" s="42" t="str">
        <f aca="false">IF($D85="Clarification required", 1, "")</f>
        <v/>
      </c>
      <c r="N85" s="5"/>
      <c r="O85" s="5"/>
      <c r="P85" s="5"/>
      <c r="Q85" s="5"/>
      <c r="R85" s="5"/>
      <c r="S85" s="5"/>
      <c r="T85" s="5"/>
      <c r="U85" s="5"/>
      <c r="V85" s="5"/>
      <c r="W85" s="5"/>
      <c r="X85" s="5"/>
      <c r="Y85" s="5"/>
      <c r="Z85" s="5"/>
    </row>
    <row r="86" customFormat="false" ht="13.5" hidden="false" customHeight="true" outlineLevel="0" collapsed="false">
      <c r="A86" s="39" t="n">
        <v>1</v>
      </c>
      <c r="B86" s="56" t="s">
        <v>241</v>
      </c>
      <c r="C86" s="56" t="s">
        <v>242</v>
      </c>
      <c r="D86" s="56" t="s">
        <v>6</v>
      </c>
      <c r="E86" s="57"/>
      <c r="F86" s="57"/>
      <c r="G86" s="57"/>
      <c r="H86" s="57" t="s">
        <v>243</v>
      </c>
      <c r="I86" s="42" t="str">
        <f aca="false">IF($D86="Yes", 1, "")</f>
        <v/>
      </c>
      <c r="J86" s="42" t="n">
        <f aca="false">IF($D86="No", 1, "")</f>
        <v>1</v>
      </c>
      <c r="K86" s="42" t="str">
        <f aca="false">IF($D86="Not Applicable", 1, "")</f>
        <v/>
      </c>
      <c r="L86" s="42" t="str">
        <f aca="false">IF($D86="Refer to comments", 1, "")</f>
        <v/>
      </c>
      <c r="M86" s="42" t="str">
        <f aca="false">IF($D86="Clarification required", 1, "")</f>
        <v/>
      </c>
      <c r="N86" s="5"/>
      <c r="O86" s="5"/>
      <c r="P86" s="5"/>
      <c r="Q86" s="5"/>
      <c r="R86" s="5"/>
      <c r="S86" s="5"/>
      <c r="T86" s="5"/>
      <c r="U86" s="5"/>
      <c r="V86" s="5"/>
      <c r="W86" s="5"/>
      <c r="X86" s="5"/>
      <c r="Y86" s="5"/>
      <c r="Z86" s="5"/>
    </row>
    <row r="87" customFormat="false" ht="13.5" hidden="false" customHeight="true" outlineLevel="0" collapsed="false">
      <c r="A87" s="39" t="n">
        <v>1</v>
      </c>
      <c r="B87" s="56" t="s">
        <v>244</v>
      </c>
      <c r="C87" s="56" t="s">
        <v>245</v>
      </c>
      <c r="D87" s="56" t="s">
        <v>6</v>
      </c>
      <c r="E87" s="57"/>
      <c r="F87" s="57"/>
      <c r="G87" s="57"/>
      <c r="H87" s="57" t="s">
        <v>246</v>
      </c>
      <c r="I87" s="42" t="str">
        <f aca="false">IF($D87="Yes", 1, "")</f>
        <v/>
      </c>
      <c r="J87" s="42" t="n">
        <f aca="false">IF($D87="No", 1, "")</f>
        <v>1</v>
      </c>
      <c r="K87" s="42" t="str">
        <f aca="false">IF($D87="Not Applicable", 1, "")</f>
        <v/>
      </c>
      <c r="L87" s="42" t="str">
        <f aca="false">IF($D87="Refer to comments", 1, "")</f>
        <v/>
      </c>
      <c r="M87" s="42" t="str">
        <f aca="false">IF($D87="Clarification required", 1, "")</f>
        <v/>
      </c>
      <c r="N87" s="5"/>
      <c r="O87" s="5"/>
      <c r="P87" s="5"/>
      <c r="Q87" s="5"/>
      <c r="R87" s="5"/>
      <c r="S87" s="5"/>
      <c r="T87" s="5"/>
      <c r="U87" s="5"/>
      <c r="V87" s="5"/>
      <c r="W87" s="5"/>
      <c r="X87" s="5"/>
      <c r="Y87" s="5"/>
      <c r="Z87" s="5"/>
    </row>
    <row r="88" customFormat="false" ht="13.5" hidden="false" customHeight="true" outlineLevel="0" collapsed="false">
      <c r="A88" s="39" t="n">
        <v>1</v>
      </c>
      <c r="B88" s="60" t="n">
        <v>5.19</v>
      </c>
      <c r="C88" s="60" t="s">
        <v>247</v>
      </c>
      <c r="D88" s="60" t="s">
        <v>6</v>
      </c>
      <c r="E88" s="61"/>
      <c r="F88" s="61"/>
      <c r="G88" s="61"/>
      <c r="H88" s="61" t="s">
        <v>248</v>
      </c>
      <c r="I88" s="42" t="str">
        <f aca="false">IF($D88="Yes", 1, "")</f>
        <v/>
      </c>
      <c r="J88" s="42" t="n">
        <f aca="false">IF($D88="No", 1, "")</f>
        <v>1</v>
      </c>
      <c r="K88" s="42" t="str">
        <f aca="false">IF($D88="Not Applicable", 1, "")</f>
        <v/>
      </c>
      <c r="L88" s="42" t="str">
        <f aca="false">IF($D88="Refer to comments", 1, "")</f>
        <v/>
      </c>
      <c r="M88" s="42" t="str">
        <f aca="false">IF($D88="Clarification required", 1, "")</f>
        <v/>
      </c>
      <c r="N88" s="5"/>
      <c r="O88" s="5"/>
      <c r="P88" s="5"/>
      <c r="Q88" s="5"/>
      <c r="R88" s="5"/>
      <c r="S88" s="5"/>
      <c r="T88" s="5"/>
      <c r="U88" s="5"/>
      <c r="V88" s="5"/>
      <c r="W88" s="5"/>
      <c r="X88" s="5"/>
      <c r="Y88" s="5"/>
      <c r="Z88" s="5"/>
    </row>
    <row r="89" customFormat="false" ht="13.5" hidden="false" customHeight="true" outlineLevel="0" collapsed="false">
      <c r="A89" s="39" t="n">
        <v>1</v>
      </c>
      <c r="B89" s="62" t="n">
        <v>5.2</v>
      </c>
      <c r="C89" s="56" t="s">
        <v>249</v>
      </c>
      <c r="D89" s="56" t="s">
        <v>6</v>
      </c>
      <c r="E89" s="57"/>
      <c r="F89" s="57"/>
      <c r="G89" s="57"/>
      <c r="H89" s="57" t="s">
        <v>250</v>
      </c>
      <c r="I89" s="42" t="str">
        <f aca="false">IF($D89="Yes", 1, "")</f>
        <v/>
      </c>
      <c r="J89" s="42" t="n">
        <f aca="false">IF($D89="No", 1, "")</f>
        <v>1</v>
      </c>
      <c r="K89" s="42" t="str">
        <f aca="false">IF($D89="Not Applicable", 1, "")</f>
        <v/>
      </c>
      <c r="L89" s="42" t="str">
        <f aca="false">IF($D89="Refer to comments", 1, "")</f>
        <v/>
      </c>
      <c r="M89" s="42" t="str">
        <f aca="false">IF($D89="Clarification required", 1, "")</f>
        <v/>
      </c>
      <c r="N89" s="5"/>
      <c r="O89" s="5"/>
      <c r="P89" s="5"/>
      <c r="Q89" s="5"/>
      <c r="R89" s="5"/>
      <c r="S89" s="5"/>
      <c r="T89" s="5"/>
      <c r="U89" s="5"/>
      <c r="V89" s="5"/>
      <c r="W89" s="5"/>
      <c r="X89" s="5"/>
      <c r="Y89" s="5"/>
      <c r="Z89" s="5"/>
    </row>
    <row r="90" customFormat="false" ht="13.5" hidden="false" customHeight="true" outlineLevel="0" collapsed="false">
      <c r="A90" s="39" t="n">
        <v>1</v>
      </c>
      <c r="B90" s="60" t="n">
        <v>5.21</v>
      </c>
      <c r="C90" s="60" t="s">
        <v>251</v>
      </c>
      <c r="D90" s="60" t="s">
        <v>6</v>
      </c>
      <c r="E90" s="61"/>
      <c r="F90" s="61"/>
      <c r="G90" s="61"/>
      <c r="H90" s="61" t="s">
        <v>252</v>
      </c>
      <c r="I90" s="42" t="str">
        <f aca="false">IF($D90="Yes", 1, "")</f>
        <v/>
      </c>
      <c r="J90" s="42" t="n">
        <f aca="false">IF($D90="No", 1, "")</f>
        <v>1</v>
      </c>
      <c r="K90" s="42" t="str">
        <f aca="false">IF($D90="Not Applicable", 1, "")</f>
        <v/>
      </c>
      <c r="L90" s="42" t="str">
        <f aca="false">IF($D90="Refer to comments", 1, "")</f>
        <v/>
      </c>
      <c r="M90" s="42" t="str">
        <f aca="false">IF($D90="Clarification required", 1, "")</f>
        <v/>
      </c>
      <c r="N90" s="5"/>
      <c r="O90" s="5"/>
      <c r="P90" s="5"/>
      <c r="Q90" s="5"/>
      <c r="R90" s="5"/>
      <c r="S90" s="5"/>
      <c r="T90" s="5"/>
      <c r="U90" s="5"/>
      <c r="V90" s="5"/>
      <c r="W90" s="5"/>
      <c r="X90" s="5"/>
      <c r="Y90" s="5"/>
      <c r="Z90" s="5"/>
    </row>
    <row r="91" customFormat="false" ht="13.5" hidden="false" customHeight="true" outlineLevel="0" collapsed="false">
      <c r="A91" s="39" t="n">
        <v>1</v>
      </c>
      <c r="B91" s="56" t="n">
        <v>5.22</v>
      </c>
      <c r="C91" s="56" t="s">
        <v>253</v>
      </c>
      <c r="D91" s="56" t="s">
        <v>6</v>
      </c>
      <c r="E91" s="57"/>
      <c r="F91" s="57"/>
      <c r="G91" s="57"/>
      <c r="H91" s="57" t="s">
        <v>254</v>
      </c>
      <c r="I91" s="42" t="str">
        <f aca="false">IF($D91="Yes", 1, "")</f>
        <v/>
      </c>
      <c r="J91" s="42" t="n">
        <f aca="false">IF($D91="No", 1, "")</f>
        <v>1</v>
      </c>
      <c r="K91" s="42" t="str">
        <f aca="false">IF($D91="Not Applicable", 1, "")</f>
        <v/>
      </c>
      <c r="L91" s="42" t="str">
        <f aca="false">IF($D91="Refer to comments", 1, "")</f>
        <v/>
      </c>
      <c r="M91" s="42" t="str">
        <f aca="false">IF($D91="Clarification required", 1, "")</f>
        <v/>
      </c>
      <c r="N91" s="5"/>
      <c r="O91" s="5"/>
      <c r="P91" s="5"/>
      <c r="Q91" s="5"/>
      <c r="R91" s="5"/>
      <c r="S91" s="5"/>
      <c r="T91" s="5"/>
      <c r="U91" s="5"/>
      <c r="V91" s="5"/>
      <c r="W91" s="5"/>
      <c r="X91" s="5"/>
      <c r="Y91" s="5"/>
      <c r="Z91" s="5"/>
    </row>
    <row r="92" customFormat="false" ht="13.5" hidden="false" customHeight="true" outlineLevel="0" collapsed="false">
      <c r="A92" s="39" t="n">
        <v>1</v>
      </c>
      <c r="B92" s="60" t="s">
        <v>255</v>
      </c>
      <c r="C92" s="60" t="s">
        <v>256</v>
      </c>
      <c r="D92" s="60" t="s">
        <v>8</v>
      </c>
      <c r="E92" s="61"/>
      <c r="F92" s="61"/>
      <c r="G92" s="61"/>
      <c r="H92" s="61" t="s">
        <v>257</v>
      </c>
      <c r="I92" s="42" t="str">
        <f aca="false">IF($D92="Yes", 1, "")</f>
        <v/>
      </c>
      <c r="J92" s="42" t="str">
        <f aca="false">IF($D92="No", 1, "")</f>
        <v/>
      </c>
      <c r="K92" s="42" t="str">
        <f aca="false">IF($D92="Not Applicable", 1, "")</f>
        <v/>
      </c>
      <c r="L92" s="42" t="n">
        <f aca="false">IF($D92="Refer to comments", 1, "")</f>
        <v>1</v>
      </c>
      <c r="M92" s="42" t="str">
        <f aca="false">IF($D92="Clarification required", 1, "")</f>
        <v/>
      </c>
      <c r="N92" s="5"/>
      <c r="O92" s="5"/>
      <c r="P92" s="5"/>
      <c r="Q92" s="5"/>
      <c r="R92" s="5"/>
      <c r="S92" s="5"/>
      <c r="T92" s="5"/>
      <c r="U92" s="5"/>
      <c r="V92" s="5"/>
      <c r="W92" s="5"/>
      <c r="X92" s="5"/>
      <c r="Y92" s="5"/>
      <c r="Z92" s="5"/>
    </row>
    <row r="93" customFormat="false" ht="13.5" hidden="false" customHeight="true" outlineLevel="0" collapsed="false">
      <c r="A93" s="39" t="n">
        <v>1</v>
      </c>
      <c r="B93" s="60" t="s">
        <v>258</v>
      </c>
      <c r="C93" s="60" t="s">
        <v>259</v>
      </c>
      <c r="D93" s="60" t="s">
        <v>6</v>
      </c>
      <c r="E93" s="61"/>
      <c r="F93" s="61"/>
      <c r="G93" s="61"/>
      <c r="H93" s="61" t="s">
        <v>260</v>
      </c>
      <c r="I93" s="42" t="str">
        <f aca="false">IF($D93="Yes", 1, "")</f>
        <v/>
      </c>
      <c r="J93" s="42" t="n">
        <f aca="false">IF($D93="No", 1, "")</f>
        <v>1</v>
      </c>
      <c r="K93" s="42" t="str">
        <f aca="false">IF($D93="Not Applicable", 1, "")</f>
        <v/>
      </c>
      <c r="L93" s="42" t="str">
        <f aca="false">IF($D93="Refer to comments", 1, "")</f>
        <v/>
      </c>
      <c r="M93" s="42" t="str">
        <f aca="false">IF($D93="Clarification required", 1, "")</f>
        <v/>
      </c>
      <c r="N93" s="5"/>
      <c r="O93" s="5"/>
      <c r="P93" s="5"/>
      <c r="Q93" s="5"/>
      <c r="R93" s="5"/>
      <c r="S93" s="5"/>
      <c r="T93" s="5"/>
      <c r="U93" s="5"/>
      <c r="V93" s="5"/>
      <c r="W93" s="5"/>
      <c r="X93" s="5"/>
      <c r="Y93" s="5"/>
      <c r="Z93" s="5"/>
    </row>
    <row r="94" customFormat="false" ht="13.5" hidden="false" customHeight="true" outlineLevel="0" collapsed="false">
      <c r="A94" s="39" t="n">
        <v>1</v>
      </c>
      <c r="B94" s="56" t="s">
        <v>261</v>
      </c>
      <c r="C94" s="56" t="s">
        <v>262</v>
      </c>
      <c r="D94" s="56" t="s">
        <v>6</v>
      </c>
      <c r="E94" s="57"/>
      <c r="F94" s="57"/>
      <c r="G94" s="57"/>
      <c r="H94" s="57" t="s">
        <v>263</v>
      </c>
      <c r="I94" s="42" t="str">
        <f aca="false">IF($D94="Yes", 1, "")</f>
        <v/>
      </c>
      <c r="J94" s="42" t="n">
        <f aca="false">IF($D94="No", 1, "")</f>
        <v>1</v>
      </c>
      <c r="K94" s="42" t="str">
        <f aca="false">IF($D94="Not Applicable", 1, "")</f>
        <v/>
      </c>
      <c r="L94" s="42" t="str">
        <f aca="false">IF($D94="Refer to comments", 1, "")</f>
        <v/>
      </c>
      <c r="M94" s="42" t="str">
        <f aca="false">IF($D94="Clarification required", 1, "")</f>
        <v/>
      </c>
      <c r="N94" s="5"/>
      <c r="O94" s="5"/>
      <c r="P94" s="5"/>
      <c r="Q94" s="5"/>
      <c r="R94" s="5"/>
      <c r="S94" s="5"/>
      <c r="T94" s="5"/>
      <c r="U94" s="5"/>
      <c r="V94" s="5"/>
      <c r="W94" s="5"/>
      <c r="X94" s="5"/>
      <c r="Y94" s="5"/>
      <c r="Z94" s="5"/>
    </row>
    <row r="95" customFormat="false" ht="13.5" hidden="false" customHeight="true" outlineLevel="0" collapsed="false">
      <c r="A95" s="39" t="n">
        <v>1</v>
      </c>
      <c r="B95" s="56" t="s">
        <v>264</v>
      </c>
      <c r="C95" s="56" t="s">
        <v>265</v>
      </c>
      <c r="D95" s="56" t="s">
        <v>6</v>
      </c>
      <c r="E95" s="57"/>
      <c r="F95" s="57"/>
      <c r="G95" s="57"/>
      <c r="H95" s="57" t="s">
        <v>266</v>
      </c>
      <c r="I95" s="42" t="str">
        <f aca="false">IF($D95="Yes", 1, "")</f>
        <v/>
      </c>
      <c r="J95" s="42" t="n">
        <f aca="false">IF($D95="No", 1, "")</f>
        <v>1</v>
      </c>
      <c r="K95" s="42" t="str">
        <f aca="false">IF($D95="Not Applicable", 1, "")</f>
        <v/>
      </c>
      <c r="L95" s="42" t="str">
        <f aca="false">IF($D95="Refer to comments", 1, "")</f>
        <v/>
      </c>
      <c r="M95" s="42" t="str">
        <f aca="false">IF($D95="Clarification required", 1, "")</f>
        <v/>
      </c>
      <c r="N95" s="5"/>
      <c r="O95" s="5"/>
      <c r="P95" s="5"/>
      <c r="Q95" s="5"/>
      <c r="R95" s="5"/>
      <c r="S95" s="5"/>
      <c r="T95" s="5"/>
      <c r="U95" s="5"/>
      <c r="V95" s="5"/>
      <c r="W95" s="5"/>
      <c r="X95" s="5"/>
      <c r="Y95" s="5"/>
      <c r="Z95" s="5"/>
    </row>
    <row r="96" customFormat="false" ht="13.5" hidden="false" customHeight="true" outlineLevel="0" collapsed="false">
      <c r="A96" s="39" t="n">
        <v>1</v>
      </c>
      <c r="B96" s="60" t="n">
        <v>5.25</v>
      </c>
      <c r="C96" s="60" t="s">
        <v>267</v>
      </c>
      <c r="D96" s="60" t="s">
        <v>6</v>
      </c>
      <c r="E96" s="61"/>
      <c r="F96" s="61"/>
      <c r="G96" s="61"/>
      <c r="H96" s="61" t="s">
        <v>268</v>
      </c>
      <c r="I96" s="42" t="str">
        <f aca="false">IF($D96="Yes", 1, "")</f>
        <v/>
      </c>
      <c r="J96" s="42" t="n">
        <f aca="false">IF($D96="No", 1, "")</f>
        <v>1</v>
      </c>
      <c r="K96" s="42" t="str">
        <f aca="false">IF($D96="Not Applicable", 1, "")</f>
        <v/>
      </c>
      <c r="L96" s="42" t="str">
        <f aca="false">IF($D96="Refer to comments", 1, "")</f>
        <v/>
      </c>
      <c r="M96" s="42" t="str">
        <f aca="false">IF($D96="Clarification required", 1, "")</f>
        <v/>
      </c>
      <c r="N96" s="5"/>
      <c r="O96" s="5"/>
      <c r="P96" s="5"/>
      <c r="Q96" s="5"/>
      <c r="R96" s="5"/>
      <c r="S96" s="5"/>
      <c r="T96" s="5"/>
      <c r="U96" s="5"/>
      <c r="V96" s="5"/>
      <c r="W96" s="5"/>
      <c r="X96" s="5"/>
      <c r="Y96" s="5"/>
      <c r="Z96" s="5"/>
    </row>
    <row r="97" customFormat="false" ht="13.5" hidden="false" customHeight="true" outlineLevel="0" collapsed="false">
      <c r="A97" s="39" t="n">
        <v>1</v>
      </c>
      <c r="B97" s="56" t="n">
        <v>5.26</v>
      </c>
      <c r="C97" s="56" t="s">
        <v>269</v>
      </c>
      <c r="D97" s="56" t="s">
        <v>6</v>
      </c>
      <c r="E97" s="57"/>
      <c r="F97" s="57"/>
      <c r="G97" s="57"/>
      <c r="H97" s="57" t="s">
        <v>270</v>
      </c>
      <c r="I97" s="42" t="str">
        <f aca="false">IF($D97="Yes", 1, "")</f>
        <v/>
      </c>
      <c r="J97" s="42" t="n">
        <f aca="false">IF($D97="No", 1, "")</f>
        <v>1</v>
      </c>
      <c r="K97" s="42" t="str">
        <f aca="false">IF($D97="Not Applicable", 1, "")</f>
        <v/>
      </c>
      <c r="L97" s="42" t="str">
        <f aca="false">IF($D97="Refer to comments", 1, "")</f>
        <v/>
      </c>
      <c r="M97" s="42" t="str">
        <f aca="false">IF($D97="Clarification required", 1, "")</f>
        <v/>
      </c>
      <c r="N97" s="5"/>
      <c r="O97" s="5"/>
      <c r="P97" s="5"/>
      <c r="Q97" s="5"/>
      <c r="R97" s="5"/>
      <c r="S97" s="5"/>
      <c r="T97" s="5"/>
      <c r="U97" s="5"/>
      <c r="V97" s="5"/>
      <c r="W97" s="5"/>
      <c r="X97" s="5"/>
      <c r="Y97" s="5"/>
      <c r="Z97" s="5"/>
    </row>
    <row r="98" customFormat="false" ht="13.5" hidden="false" customHeight="true" outlineLevel="0" collapsed="false">
      <c r="A98" s="39" t="n">
        <v>1</v>
      </c>
      <c r="B98" s="60" t="n">
        <v>5.27</v>
      </c>
      <c r="C98" s="60" t="s">
        <v>271</v>
      </c>
      <c r="D98" s="60" t="s">
        <v>6</v>
      </c>
      <c r="E98" s="61"/>
      <c r="F98" s="61"/>
      <c r="G98" s="61"/>
      <c r="H98" s="61" t="s">
        <v>272</v>
      </c>
      <c r="I98" s="42" t="str">
        <f aca="false">IF($D98="Yes", 1, "")</f>
        <v/>
      </c>
      <c r="J98" s="42" t="n">
        <f aca="false">IF($D98="No", 1, "")</f>
        <v>1</v>
      </c>
      <c r="K98" s="42" t="str">
        <f aca="false">IF($D98="Not Applicable", 1, "")</f>
        <v/>
      </c>
      <c r="L98" s="42" t="str">
        <f aca="false">IF($D98="Refer to comments", 1, "")</f>
        <v/>
      </c>
      <c r="M98" s="42" t="str">
        <f aca="false">IF($D98="Clarification required", 1, "")</f>
        <v/>
      </c>
      <c r="N98" s="5"/>
      <c r="O98" s="5"/>
      <c r="P98" s="5"/>
      <c r="Q98" s="5"/>
      <c r="R98" s="5"/>
      <c r="S98" s="5"/>
      <c r="T98" s="5"/>
      <c r="U98" s="5"/>
      <c r="V98" s="5"/>
      <c r="W98" s="5"/>
      <c r="X98" s="5"/>
      <c r="Y98" s="5"/>
      <c r="Z98" s="5"/>
    </row>
    <row r="99" customFormat="false" ht="13.5" hidden="false" customHeight="true" outlineLevel="0" collapsed="false">
      <c r="A99" s="39" t="n">
        <v>1</v>
      </c>
      <c r="B99" s="56" t="n">
        <v>5.28</v>
      </c>
      <c r="C99" s="56" t="s">
        <v>273</v>
      </c>
      <c r="D99" s="56" t="s">
        <v>6</v>
      </c>
      <c r="E99" s="57"/>
      <c r="F99" s="57"/>
      <c r="G99" s="57"/>
      <c r="H99" s="57" t="s">
        <v>274</v>
      </c>
      <c r="I99" s="42" t="str">
        <f aca="false">IF($D99="Yes", 1, "")</f>
        <v/>
      </c>
      <c r="J99" s="42" t="n">
        <f aca="false">IF($D99="No", 1, "")</f>
        <v>1</v>
      </c>
      <c r="K99" s="42" t="str">
        <f aca="false">IF($D99="Not Applicable", 1, "")</f>
        <v/>
      </c>
      <c r="L99" s="42" t="str">
        <f aca="false">IF($D99="Refer to comments", 1, "")</f>
        <v/>
      </c>
      <c r="M99" s="42" t="str">
        <f aca="false">IF($D99="Clarification required", 1, "")</f>
        <v/>
      </c>
      <c r="N99" s="5"/>
      <c r="O99" s="5"/>
      <c r="P99" s="5"/>
      <c r="Q99" s="5"/>
      <c r="R99" s="5"/>
      <c r="S99" s="5"/>
      <c r="T99" s="5"/>
      <c r="U99" s="5"/>
      <c r="V99" s="5"/>
      <c r="W99" s="5"/>
      <c r="X99" s="5"/>
      <c r="Y99" s="5"/>
      <c r="Z99" s="5"/>
    </row>
    <row r="100" customFormat="false" ht="13.5" hidden="false" customHeight="true" outlineLevel="0" collapsed="false">
      <c r="A100" s="39" t="n">
        <v>1</v>
      </c>
      <c r="B100" s="60" t="n">
        <v>5.29</v>
      </c>
      <c r="C100" s="60" t="s">
        <v>275</v>
      </c>
      <c r="D100" s="60" t="s">
        <v>6</v>
      </c>
      <c r="E100" s="61"/>
      <c r="F100" s="61"/>
      <c r="G100" s="61"/>
      <c r="H100" s="61" t="s">
        <v>276</v>
      </c>
      <c r="I100" s="42" t="str">
        <f aca="false">IF($D100="Yes", 1, "")</f>
        <v/>
      </c>
      <c r="J100" s="42" t="n">
        <f aca="false">IF($D100="No", 1, "")</f>
        <v>1</v>
      </c>
      <c r="K100" s="42" t="str">
        <f aca="false">IF($D100="Not Applicable", 1, "")</f>
        <v/>
      </c>
      <c r="L100" s="42" t="str">
        <f aca="false">IF($D100="Refer to comments", 1, "")</f>
        <v/>
      </c>
      <c r="M100" s="42" t="str">
        <f aca="false">IF($D100="Clarification required", 1, "")</f>
        <v/>
      </c>
      <c r="N100" s="5"/>
      <c r="O100" s="5"/>
      <c r="P100" s="5"/>
      <c r="Q100" s="5"/>
      <c r="R100" s="5"/>
      <c r="S100" s="5"/>
      <c r="T100" s="5"/>
      <c r="U100" s="5"/>
      <c r="V100" s="5"/>
      <c r="W100" s="5"/>
      <c r="X100" s="5"/>
      <c r="Y100" s="5"/>
      <c r="Z100" s="5"/>
    </row>
    <row r="101" customFormat="false" ht="13.5" hidden="false" customHeight="true" outlineLevel="0" collapsed="false">
      <c r="A101" s="39" t="n">
        <v>1</v>
      </c>
      <c r="B101" s="63" t="s">
        <v>277</v>
      </c>
      <c r="C101" s="56" t="s">
        <v>278</v>
      </c>
      <c r="D101" s="56" t="s">
        <v>6</v>
      </c>
      <c r="E101" s="57"/>
      <c r="F101" s="57"/>
      <c r="G101" s="57"/>
      <c r="H101" s="57" t="s">
        <v>279</v>
      </c>
      <c r="I101" s="42" t="str">
        <f aca="false">IF($D101="Yes", 1, "")</f>
        <v/>
      </c>
      <c r="J101" s="42" t="n">
        <f aca="false">IF($D101="No", 1, "")</f>
        <v>1</v>
      </c>
      <c r="K101" s="42" t="str">
        <f aca="false">IF($D101="Not Applicable", 1, "")</f>
        <v/>
      </c>
      <c r="L101" s="42" t="str">
        <f aca="false">IF($D101="Refer to comments", 1, "")</f>
        <v/>
      </c>
      <c r="M101" s="42" t="str">
        <f aca="false">IF($D101="Clarification required", 1, "")</f>
        <v/>
      </c>
      <c r="N101" s="5"/>
      <c r="O101" s="5"/>
      <c r="P101" s="5"/>
      <c r="Q101" s="5"/>
      <c r="R101" s="5"/>
      <c r="S101" s="5"/>
      <c r="T101" s="5"/>
      <c r="U101" s="5"/>
      <c r="V101" s="5"/>
      <c r="W101" s="5"/>
      <c r="X101" s="5"/>
      <c r="Y101" s="5"/>
      <c r="Z101" s="5"/>
    </row>
    <row r="102" customFormat="false" ht="13.5" hidden="false" customHeight="true" outlineLevel="0" collapsed="false">
      <c r="A102" s="39" t="n">
        <v>1</v>
      </c>
      <c r="B102" s="56" t="s">
        <v>280</v>
      </c>
      <c r="C102" s="56" t="s">
        <v>281</v>
      </c>
      <c r="D102" s="56" t="s">
        <v>6</v>
      </c>
      <c r="E102" s="57"/>
      <c r="F102" s="57"/>
      <c r="G102" s="57"/>
      <c r="H102" s="57" t="s">
        <v>282</v>
      </c>
      <c r="I102" s="42" t="str">
        <f aca="false">IF($D102="Yes", 1, "")</f>
        <v/>
      </c>
      <c r="J102" s="42" t="n">
        <f aca="false">IF($D102="No", 1, "")</f>
        <v>1</v>
      </c>
      <c r="K102" s="42" t="str">
        <f aca="false">IF($D102="Not Applicable", 1, "")</f>
        <v/>
      </c>
      <c r="L102" s="42" t="str">
        <f aca="false">IF($D102="Refer to comments", 1, "")</f>
        <v/>
      </c>
      <c r="M102" s="42" t="str">
        <f aca="false">IF($D102="Clarification required", 1, "")</f>
        <v/>
      </c>
      <c r="N102" s="5"/>
      <c r="O102" s="5"/>
      <c r="P102" s="5"/>
      <c r="Q102" s="5"/>
      <c r="R102" s="5"/>
      <c r="S102" s="5"/>
      <c r="T102" s="5"/>
      <c r="U102" s="5"/>
      <c r="V102" s="5"/>
      <c r="W102" s="5"/>
      <c r="X102" s="5"/>
      <c r="Y102" s="5"/>
      <c r="Z102" s="5"/>
    </row>
    <row r="103" customFormat="false" ht="13.5" hidden="false" customHeight="true" outlineLevel="0" collapsed="false">
      <c r="A103" s="39" t="n">
        <v>1</v>
      </c>
      <c r="B103" s="60" t="n">
        <v>5.31</v>
      </c>
      <c r="C103" s="60" t="s">
        <v>283</v>
      </c>
      <c r="D103" s="60" t="s">
        <v>8</v>
      </c>
      <c r="E103" s="61"/>
      <c r="F103" s="61"/>
      <c r="G103" s="61"/>
      <c r="H103" s="61" t="s">
        <v>284</v>
      </c>
      <c r="I103" s="42" t="str">
        <f aca="false">IF($D103="Yes", 1, "")</f>
        <v/>
      </c>
      <c r="J103" s="42" t="str">
        <f aca="false">IF($D103="No", 1, "")</f>
        <v/>
      </c>
      <c r="K103" s="42" t="str">
        <f aca="false">IF($D103="Not Applicable", 1, "")</f>
        <v/>
      </c>
      <c r="L103" s="42" t="n">
        <f aca="false">IF($D103="Refer to comments", 1, "")</f>
        <v>1</v>
      </c>
      <c r="M103" s="42" t="str">
        <f aca="false">IF($D103="Clarification required", 1, "")</f>
        <v/>
      </c>
      <c r="N103" s="5"/>
      <c r="O103" s="5"/>
      <c r="P103" s="5"/>
      <c r="Q103" s="5"/>
      <c r="R103" s="5"/>
      <c r="S103" s="5"/>
      <c r="T103" s="5"/>
      <c r="U103" s="5"/>
      <c r="V103" s="5"/>
      <c r="W103" s="5"/>
      <c r="X103" s="5"/>
      <c r="Y103" s="5"/>
      <c r="Z103" s="5"/>
    </row>
    <row r="104" customFormat="false" ht="13.5" hidden="false" customHeight="true" outlineLevel="0" collapsed="false">
      <c r="A104" s="39" t="n">
        <v>1</v>
      </c>
      <c r="B104" s="56" t="n">
        <v>5.32</v>
      </c>
      <c r="C104" s="56" t="s">
        <v>285</v>
      </c>
      <c r="D104" s="56" t="s">
        <v>6</v>
      </c>
      <c r="E104" s="57"/>
      <c r="F104" s="57"/>
      <c r="G104" s="57"/>
      <c r="H104" s="57" t="s">
        <v>286</v>
      </c>
      <c r="I104" s="42" t="str">
        <f aca="false">IF($D104="Yes", 1, "")</f>
        <v/>
      </c>
      <c r="J104" s="42" t="n">
        <f aca="false">IF($D104="No", 1, "")</f>
        <v>1</v>
      </c>
      <c r="K104" s="42" t="str">
        <f aca="false">IF($D104="Not Applicable", 1, "")</f>
        <v/>
      </c>
      <c r="L104" s="42" t="str">
        <f aca="false">IF($D104="Refer to comments", 1, "")</f>
        <v/>
      </c>
      <c r="M104" s="42" t="str">
        <f aca="false">IF($D104="Clarification required", 1, "")</f>
        <v/>
      </c>
      <c r="N104" s="5"/>
      <c r="O104" s="5"/>
      <c r="P104" s="5"/>
      <c r="Q104" s="5"/>
      <c r="R104" s="5"/>
      <c r="S104" s="5"/>
      <c r="T104" s="5"/>
      <c r="U104" s="5"/>
      <c r="V104" s="5"/>
      <c r="W104" s="5"/>
      <c r="X104" s="5"/>
      <c r="Y104" s="5"/>
      <c r="Z104" s="5"/>
    </row>
    <row r="105" customFormat="false" ht="13.5" hidden="false" customHeight="true" outlineLevel="0" collapsed="false">
      <c r="A105" s="39" t="n">
        <v>1</v>
      </c>
      <c r="B105" s="60" t="s">
        <v>287</v>
      </c>
      <c r="C105" s="60" t="s">
        <v>288</v>
      </c>
      <c r="D105" s="60" t="s">
        <v>8</v>
      </c>
      <c r="E105" s="61"/>
      <c r="F105" s="61"/>
      <c r="G105" s="61"/>
      <c r="H105" s="61" t="s">
        <v>289</v>
      </c>
      <c r="I105" s="42" t="str">
        <f aca="false">IF($D105="Yes", 1, "")</f>
        <v/>
      </c>
      <c r="J105" s="42" t="str">
        <f aca="false">IF($D105="No", 1, "")</f>
        <v/>
      </c>
      <c r="K105" s="42" t="str">
        <f aca="false">IF($D105="Not Applicable", 1, "")</f>
        <v/>
      </c>
      <c r="L105" s="42" t="n">
        <f aca="false">IF($D105="Refer to comments", 1, "")</f>
        <v>1</v>
      </c>
      <c r="M105" s="42" t="str">
        <f aca="false">IF($D105="Clarification required", 1, "")</f>
        <v/>
      </c>
      <c r="N105" s="5"/>
      <c r="O105" s="5"/>
      <c r="P105" s="5"/>
      <c r="Q105" s="5"/>
      <c r="R105" s="5"/>
      <c r="S105" s="5"/>
      <c r="T105" s="5"/>
      <c r="U105" s="5"/>
      <c r="V105" s="5"/>
      <c r="W105" s="5"/>
      <c r="X105" s="5"/>
      <c r="Y105" s="5"/>
      <c r="Z105" s="5"/>
    </row>
    <row r="106" customFormat="false" ht="13.5" hidden="false" customHeight="true" outlineLevel="0" collapsed="false">
      <c r="A106" s="39" t="n">
        <v>1</v>
      </c>
      <c r="B106" s="60" t="s">
        <v>290</v>
      </c>
      <c r="C106" s="60" t="s">
        <v>291</v>
      </c>
      <c r="D106" s="60" t="s">
        <v>5</v>
      </c>
      <c r="E106" s="61"/>
      <c r="F106" s="61"/>
      <c r="G106" s="61"/>
      <c r="H106" s="61" t="s">
        <v>292</v>
      </c>
      <c r="I106" s="42" t="n">
        <f aca="false">IF($D106="Yes", 1, "")</f>
        <v>1</v>
      </c>
      <c r="J106" s="42" t="str">
        <f aca="false">IF($D106="No", 1, "")</f>
        <v/>
      </c>
      <c r="K106" s="42" t="str">
        <f aca="false">IF($D106="Not Applicable", 1, "")</f>
        <v/>
      </c>
      <c r="L106" s="42" t="str">
        <f aca="false">IF($D106="Refer to comments", 1, "")</f>
        <v/>
      </c>
      <c r="M106" s="42" t="str">
        <f aca="false">IF($D106="Clarification required", 1, "")</f>
        <v/>
      </c>
      <c r="N106" s="5"/>
      <c r="O106" s="5"/>
      <c r="P106" s="5"/>
      <c r="Q106" s="5"/>
      <c r="R106" s="5"/>
      <c r="S106" s="5"/>
      <c r="T106" s="5"/>
      <c r="U106" s="5"/>
      <c r="V106" s="5"/>
      <c r="W106" s="5"/>
      <c r="X106" s="5"/>
      <c r="Y106" s="5"/>
      <c r="Z106" s="5"/>
    </row>
    <row r="107" customFormat="false" ht="13.5" hidden="false" customHeight="true" outlineLevel="0" collapsed="false">
      <c r="A107" s="39" t="n">
        <v>1</v>
      </c>
      <c r="B107" s="56" t="s">
        <v>293</v>
      </c>
      <c r="C107" s="56" t="s">
        <v>294</v>
      </c>
      <c r="D107" s="56" t="s">
        <v>6</v>
      </c>
      <c r="E107" s="57"/>
      <c r="F107" s="57"/>
      <c r="G107" s="57"/>
      <c r="H107" s="57" t="s">
        <v>295</v>
      </c>
      <c r="I107" s="42" t="str">
        <f aca="false">IF($D107="Yes", 1, "")</f>
        <v/>
      </c>
      <c r="J107" s="42" t="n">
        <f aca="false">IF($D107="No", 1, "")</f>
        <v>1</v>
      </c>
      <c r="K107" s="42" t="str">
        <f aca="false">IF($D107="Not Applicable", 1, "")</f>
        <v/>
      </c>
      <c r="L107" s="42" t="str">
        <f aca="false">IF($D107="Refer to comments", 1, "")</f>
        <v/>
      </c>
      <c r="M107" s="42" t="str">
        <f aca="false">IF($D107="Clarification required", 1, "")</f>
        <v/>
      </c>
      <c r="N107" s="5"/>
      <c r="O107" s="5"/>
      <c r="P107" s="5"/>
      <c r="Q107" s="5"/>
      <c r="R107" s="5"/>
      <c r="S107" s="5"/>
      <c r="T107" s="5"/>
      <c r="U107" s="5"/>
      <c r="V107" s="5"/>
      <c r="W107" s="5"/>
      <c r="X107" s="5"/>
      <c r="Y107" s="5"/>
      <c r="Z107" s="5"/>
    </row>
    <row r="108" customFormat="false" ht="13.5" hidden="false" customHeight="true" outlineLevel="0" collapsed="false">
      <c r="A108" s="39" t="n">
        <v>1</v>
      </c>
      <c r="B108" s="56" t="s">
        <v>296</v>
      </c>
      <c r="C108" s="56" t="s">
        <v>297</v>
      </c>
      <c r="D108" s="56" t="s">
        <v>6</v>
      </c>
      <c r="E108" s="57"/>
      <c r="F108" s="57"/>
      <c r="G108" s="57"/>
      <c r="H108" s="57" t="s">
        <v>298</v>
      </c>
      <c r="I108" s="42" t="str">
        <f aca="false">IF($D108="Yes", 1, "")</f>
        <v/>
      </c>
      <c r="J108" s="42" t="n">
        <f aca="false">IF($D108="No", 1, "")</f>
        <v>1</v>
      </c>
      <c r="K108" s="42" t="str">
        <f aca="false">IF($D108="Not Applicable", 1, "")</f>
        <v/>
      </c>
      <c r="L108" s="42" t="str">
        <f aca="false">IF($D108="Refer to comments", 1, "")</f>
        <v/>
      </c>
      <c r="M108" s="42" t="str">
        <f aca="false">IF($D108="Clarification required", 1, "")</f>
        <v/>
      </c>
      <c r="N108" s="5"/>
      <c r="O108" s="5"/>
      <c r="P108" s="5"/>
      <c r="Q108" s="5"/>
      <c r="R108" s="5"/>
      <c r="S108" s="5"/>
      <c r="T108" s="5"/>
      <c r="U108" s="5"/>
      <c r="V108" s="5"/>
      <c r="W108" s="5"/>
      <c r="X108" s="5"/>
      <c r="Y108" s="5"/>
      <c r="Z108" s="5"/>
    </row>
    <row r="109" customFormat="false" ht="13.5" hidden="false" customHeight="true" outlineLevel="0" collapsed="false">
      <c r="A109" s="39" t="n">
        <v>1</v>
      </c>
      <c r="B109" s="60" t="n">
        <v>5.35</v>
      </c>
      <c r="C109" s="60" t="s">
        <v>299</v>
      </c>
      <c r="D109" s="60" t="s">
        <v>6</v>
      </c>
      <c r="E109" s="61"/>
      <c r="F109" s="61"/>
      <c r="G109" s="61"/>
      <c r="H109" s="61" t="s">
        <v>300</v>
      </c>
      <c r="I109" s="42" t="str">
        <f aca="false">IF($D109="Yes", 1, "")</f>
        <v/>
      </c>
      <c r="J109" s="42" t="n">
        <f aca="false">IF($D109="No", 1, "")</f>
        <v>1</v>
      </c>
      <c r="K109" s="42" t="str">
        <f aca="false">IF($D109="Not Applicable", 1, "")</f>
        <v/>
      </c>
      <c r="L109" s="42" t="str">
        <f aca="false">IF($D109="Refer to comments", 1, "")</f>
        <v/>
      </c>
      <c r="M109" s="42" t="str">
        <f aca="false">IF($D109="Clarification required", 1, "")</f>
        <v/>
      </c>
      <c r="N109" s="5"/>
      <c r="O109" s="5"/>
      <c r="P109" s="5"/>
      <c r="Q109" s="5"/>
      <c r="R109" s="5"/>
      <c r="S109" s="5"/>
      <c r="T109" s="5"/>
      <c r="U109" s="5"/>
      <c r="V109" s="5"/>
      <c r="W109" s="5"/>
      <c r="X109" s="5"/>
      <c r="Y109" s="5"/>
      <c r="Z109" s="5"/>
    </row>
    <row r="110" customFormat="false" ht="13.5" hidden="false" customHeight="true" outlineLevel="0" collapsed="false">
      <c r="A110" s="39" t="n">
        <v>1</v>
      </c>
      <c r="B110" s="56" t="n">
        <v>5.36</v>
      </c>
      <c r="C110" s="56" t="s">
        <v>301</v>
      </c>
      <c r="D110" s="56" t="s">
        <v>6</v>
      </c>
      <c r="E110" s="57"/>
      <c r="F110" s="57"/>
      <c r="G110" s="57"/>
      <c r="H110" s="57" t="s">
        <v>302</v>
      </c>
      <c r="I110" s="42" t="str">
        <f aca="false">IF($D110="Yes", 1, "")</f>
        <v/>
      </c>
      <c r="J110" s="42" t="n">
        <f aca="false">IF($D110="No", 1, "")</f>
        <v>1</v>
      </c>
      <c r="K110" s="42" t="str">
        <f aca="false">IF($D110="Not Applicable", 1, "")</f>
        <v/>
      </c>
      <c r="L110" s="42" t="str">
        <f aca="false">IF($D110="Refer to comments", 1, "")</f>
        <v/>
      </c>
      <c r="M110" s="42" t="str">
        <f aca="false">IF($D110="Clarification required", 1, "")</f>
        <v/>
      </c>
      <c r="N110" s="5"/>
      <c r="O110" s="5"/>
      <c r="P110" s="5"/>
      <c r="Q110" s="5"/>
      <c r="R110" s="5"/>
      <c r="S110" s="5"/>
      <c r="T110" s="5"/>
      <c r="U110" s="5"/>
      <c r="V110" s="5"/>
      <c r="W110" s="5"/>
      <c r="X110" s="5"/>
      <c r="Y110" s="5"/>
      <c r="Z110" s="5"/>
    </row>
    <row r="111" customFormat="false" ht="13.5" hidden="false" customHeight="true" outlineLevel="0" collapsed="false">
      <c r="A111" s="39" t="n">
        <v>1</v>
      </c>
      <c r="B111" s="60" t="n">
        <v>5.37</v>
      </c>
      <c r="C111" s="60" t="s">
        <v>303</v>
      </c>
      <c r="D111" s="60" t="s">
        <v>6</v>
      </c>
      <c r="E111" s="61"/>
      <c r="F111" s="61"/>
      <c r="G111" s="61"/>
      <c r="H111" s="61" t="s">
        <v>304</v>
      </c>
      <c r="I111" s="42" t="str">
        <f aca="false">IF($D111="Yes", 1, "")</f>
        <v/>
      </c>
      <c r="J111" s="42" t="n">
        <f aca="false">IF($D111="No", 1, "")</f>
        <v>1</v>
      </c>
      <c r="K111" s="42" t="str">
        <f aca="false">IF($D111="Not Applicable", 1, "")</f>
        <v/>
      </c>
      <c r="L111" s="42" t="str">
        <f aca="false">IF($D111="Refer to comments", 1, "")</f>
        <v/>
      </c>
      <c r="M111" s="42" t="str">
        <f aca="false">IF($D111="Clarification required", 1, "")</f>
        <v/>
      </c>
      <c r="N111" s="5"/>
      <c r="O111" s="5"/>
      <c r="P111" s="5"/>
      <c r="Q111" s="5"/>
      <c r="R111" s="5"/>
      <c r="S111" s="5"/>
      <c r="T111" s="5"/>
      <c r="U111" s="5"/>
      <c r="V111" s="5"/>
      <c r="W111" s="5"/>
      <c r="X111" s="5"/>
      <c r="Y111" s="5"/>
      <c r="Z111" s="5"/>
    </row>
    <row r="112" customFormat="false" ht="39.75" hidden="false" customHeight="true" outlineLevel="0" collapsed="false">
      <c r="A112" s="39"/>
      <c r="B112" s="58" t="s">
        <v>305</v>
      </c>
      <c r="C112" s="58"/>
      <c r="D112" s="59" t="s">
        <v>32</v>
      </c>
      <c r="E112" s="53" t="s">
        <v>33</v>
      </c>
      <c r="F112" s="53" t="s">
        <v>34</v>
      </c>
      <c r="G112" s="53" t="s">
        <v>35</v>
      </c>
      <c r="H112" s="59" t="s">
        <v>36</v>
      </c>
      <c r="I112" s="50" t="s">
        <v>5</v>
      </c>
      <c r="J112" s="50" t="s">
        <v>6</v>
      </c>
      <c r="K112" s="51" t="s">
        <v>37</v>
      </c>
      <c r="L112" s="51" t="s">
        <v>8</v>
      </c>
      <c r="M112" s="51" t="s">
        <v>9</v>
      </c>
      <c r="N112" s="5"/>
      <c r="O112" s="5"/>
      <c r="P112" s="5"/>
      <c r="Q112" s="5"/>
      <c r="R112" s="5"/>
      <c r="S112" s="5"/>
      <c r="T112" s="5"/>
      <c r="U112" s="5"/>
      <c r="V112" s="5"/>
      <c r="W112" s="5"/>
      <c r="X112" s="5"/>
      <c r="Y112" s="5"/>
      <c r="Z112" s="5"/>
    </row>
    <row r="113" customFormat="false" ht="13.5" hidden="false" customHeight="true" outlineLevel="0" collapsed="false">
      <c r="A113" s="39" t="n">
        <v>1</v>
      </c>
      <c r="B113" s="64" t="s">
        <v>61</v>
      </c>
      <c r="C113" s="56" t="s">
        <v>306</v>
      </c>
      <c r="D113" s="56" t="s">
        <v>5</v>
      </c>
      <c r="E113" s="57"/>
      <c r="F113" s="57"/>
      <c r="G113" s="57"/>
      <c r="H113" s="57" t="s">
        <v>307</v>
      </c>
      <c r="I113" s="42" t="n">
        <f aca="false">IF($D113="Yes", 1, "")</f>
        <v>1</v>
      </c>
      <c r="J113" s="42" t="str">
        <f aca="false">IF($D113="No", 1, "")</f>
        <v/>
      </c>
      <c r="K113" s="42" t="str">
        <f aca="false">IF($D113="Not Applicable", 1, "")</f>
        <v/>
      </c>
      <c r="L113" s="42" t="str">
        <f aca="false">IF($D113="Refer to comments", 1, "")</f>
        <v/>
      </c>
      <c r="M113" s="42" t="str">
        <f aca="false">IF($D113="Clarification required", 1, "")</f>
        <v/>
      </c>
      <c r="N113" s="5"/>
      <c r="O113" s="5"/>
      <c r="P113" s="5"/>
      <c r="Q113" s="5"/>
      <c r="R113" s="5"/>
      <c r="S113" s="5"/>
      <c r="T113" s="5"/>
      <c r="U113" s="5"/>
      <c r="V113" s="5"/>
      <c r="W113" s="5"/>
      <c r="X113" s="5"/>
      <c r="Y113" s="5"/>
      <c r="Z113" s="5"/>
    </row>
    <row r="114" customFormat="false" ht="13.5" hidden="false" customHeight="true" outlineLevel="0" collapsed="false">
      <c r="A114" s="39" t="n">
        <v>1</v>
      </c>
      <c r="B114" s="64" t="s">
        <v>64</v>
      </c>
      <c r="C114" s="56" t="s">
        <v>308</v>
      </c>
      <c r="D114" s="56" t="s">
        <v>6</v>
      </c>
      <c r="E114" s="57"/>
      <c r="F114" s="57"/>
      <c r="G114" s="57"/>
      <c r="H114" s="57" t="s">
        <v>309</v>
      </c>
      <c r="I114" s="42" t="str">
        <f aca="false">IF($D114="Yes", 1, "")</f>
        <v/>
      </c>
      <c r="J114" s="42" t="n">
        <f aca="false">IF($D114="No", 1, "")</f>
        <v>1</v>
      </c>
      <c r="K114" s="42" t="str">
        <f aca="false">IF($D114="Not Applicable", 1, "")</f>
        <v/>
      </c>
      <c r="L114" s="42" t="str">
        <f aca="false">IF($D114="Refer to comments", 1, "")</f>
        <v/>
      </c>
      <c r="M114" s="42" t="str">
        <f aca="false">IF($D114="Clarification required", 1, "")</f>
        <v/>
      </c>
      <c r="N114" s="5"/>
      <c r="O114" s="5"/>
      <c r="P114" s="5"/>
      <c r="Q114" s="5"/>
      <c r="R114" s="5"/>
      <c r="S114" s="5"/>
      <c r="T114" s="5"/>
      <c r="U114" s="5"/>
      <c r="V114" s="5"/>
      <c r="W114" s="5"/>
      <c r="X114" s="5"/>
      <c r="Y114" s="5"/>
      <c r="Z114" s="5"/>
    </row>
    <row r="115" customFormat="false" ht="13.5" hidden="false" customHeight="true" outlineLevel="0" collapsed="false">
      <c r="A115" s="39" t="n">
        <v>1</v>
      </c>
      <c r="B115" s="64" t="s">
        <v>67</v>
      </c>
      <c r="C115" s="56" t="s">
        <v>310</v>
      </c>
      <c r="D115" s="56" t="s">
        <v>8</v>
      </c>
      <c r="E115" s="57"/>
      <c r="F115" s="57"/>
      <c r="G115" s="57"/>
      <c r="H115" s="57" t="s">
        <v>311</v>
      </c>
      <c r="I115" s="42" t="str">
        <f aca="false">IF($D115="Yes", 1, "")</f>
        <v/>
      </c>
      <c r="J115" s="42" t="str">
        <f aca="false">IF($D115="No", 1, "")</f>
        <v/>
      </c>
      <c r="K115" s="42" t="str">
        <f aca="false">IF($D115="Not Applicable", 1, "")</f>
        <v/>
      </c>
      <c r="L115" s="42" t="n">
        <f aca="false">IF($D115="Refer to comments", 1, "")</f>
        <v>1</v>
      </c>
      <c r="M115" s="42" t="str">
        <f aca="false">IF($D115="Clarification required", 1, "")</f>
        <v/>
      </c>
      <c r="N115" s="5"/>
      <c r="O115" s="5"/>
      <c r="P115" s="5"/>
      <c r="Q115" s="5"/>
      <c r="R115" s="5"/>
      <c r="S115" s="5"/>
      <c r="T115" s="5"/>
      <c r="U115" s="5"/>
      <c r="V115" s="5"/>
      <c r="W115" s="5"/>
      <c r="X115" s="5"/>
      <c r="Y115" s="5"/>
      <c r="Z115" s="5"/>
    </row>
    <row r="116" customFormat="false" ht="13.5" hidden="false" customHeight="true" outlineLevel="0" collapsed="false">
      <c r="A116" s="39" t="n">
        <v>1</v>
      </c>
      <c r="B116" s="60" t="n">
        <v>6.2</v>
      </c>
      <c r="C116" s="60" t="s">
        <v>312</v>
      </c>
      <c r="D116" s="60" t="s">
        <v>8</v>
      </c>
      <c r="E116" s="61"/>
      <c r="F116" s="61"/>
      <c r="G116" s="61"/>
      <c r="H116" s="61" t="s">
        <v>313</v>
      </c>
      <c r="I116" s="42" t="str">
        <f aca="false">IF($D116="Yes", 1, "")</f>
        <v/>
      </c>
      <c r="J116" s="42" t="str">
        <f aca="false">IF($D116="No", 1, "")</f>
        <v/>
      </c>
      <c r="K116" s="42" t="str">
        <f aca="false">IF($D116="Not Applicable", 1, "")</f>
        <v/>
      </c>
      <c r="L116" s="42" t="n">
        <f aca="false">IF($D116="Refer to comments", 1, "")</f>
        <v>1</v>
      </c>
      <c r="M116" s="42" t="str">
        <f aca="false">IF($D116="Clarification required", 1, "")</f>
        <v/>
      </c>
      <c r="N116" s="5"/>
      <c r="O116" s="5"/>
      <c r="P116" s="5"/>
      <c r="Q116" s="5"/>
      <c r="R116" s="5"/>
      <c r="S116" s="5"/>
      <c r="T116" s="5"/>
      <c r="U116" s="5"/>
      <c r="V116" s="5"/>
      <c r="W116" s="5"/>
      <c r="X116" s="5"/>
      <c r="Y116" s="5"/>
      <c r="Z116" s="5"/>
    </row>
    <row r="117" customFormat="false" ht="13.5" hidden="false" customHeight="true" outlineLevel="0" collapsed="false">
      <c r="A117" s="39" t="n">
        <v>1</v>
      </c>
      <c r="B117" s="64" t="s">
        <v>73</v>
      </c>
      <c r="C117" s="56" t="s">
        <v>314</v>
      </c>
      <c r="D117" s="56" t="s">
        <v>6</v>
      </c>
      <c r="E117" s="57"/>
      <c r="F117" s="57"/>
      <c r="G117" s="57"/>
      <c r="H117" s="57" t="s">
        <v>315</v>
      </c>
      <c r="I117" s="42" t="str">
        <f aca="false">IF($D117="Yes", 1, "")</f>
        <v/>
      </c>
      <c r="J117" s="42" t="n">
        <f aca="false">IF($D117="No", 1, "")</f>
        <v>1</v>
      </c>
      <c r="K117" s="42" t="str">
        <f aca="false">IF($D117="Not Applicable", 1, "")</f>
        <v/>
      </c>
      <c r="L117" s="42" t="str">
        <f aca="false">IF($D117="Refer to comments", 1, "")</f>
        <v/>
      </c>
      <c r="M117" s="42" t="str">
        <f aca="false">IF($D117="Clarification required", 1, "")</f>
        <v/>
      </c>
      <c r="N117" s="5"/>
      <c r="O117" s="5"/>
      <c r="P117" s="5"/>
      <c r="Q117" s="5"/>
      <c r="R117" s="5"/>
      <c r="S117" s="5"/>
      <c r="T117" s="5"/>
      <c r="U117" s="5"/>
      <c r="V117" s="5"/>
      <c r="W117" s="5"/>
      <c r="X117" s="5"/>
      <c r="Y117" s="5"/>
      <c r="Z117" s="5"/>
    </row>
    <row r="118" customFormat="false" ht="13.5" hidden="false" customHeight="true" outlineLevel="0" collapsed="false">
      <c r="A118" s="39" t="n">
        <v>1</v>
      </c>
      <c r="B118" s="64" t="s">
        <v>316</v>
      </c>
      <c r="C118" s="56" t="s">
        <v>317</v>
      </c>
      <c r="D118" s="56" t="s">
        <v>6</v>
      </c>
      <c r="E118" s="57"/>
      <c r="F118" s="57"/>
      <c r="G118" s="57"/>
      <c r="H118" s="57" t="s">
        <v>318</v>
      </c>
      <c r="I118" s="42" t="str">
        <f aca="false">IF($D118="Yes", 1, "")</f>
        <v/>
      </c>
      <c r="J118" s="42" t="n">
        <f aca="false">IF($D118="No", 1, "")</f>
        <v>1</v>
      </c>
      <c r="K118" s="42" t="str">
        <f aca="false">IF($D118="Not Applicable", 1, "")</f>
        <v/>
      </c>
      <c r="L118" s="42" t="str">
        <f aca="false">IF($D118="Refer to comments", 1, "")</f>
        <v/>
      </c>
      <c r="M118" s="42" t="str">
        <f aca="false">IF($D118="Clarification required", 1, "")</f>
        <v/>
      </c>
      <c r="N118" s="5"/>
      <c r="O118" s="5"/>
      <c r="P118" s="5"/>
      <c r="Q118" s="5"/>
      <c r="R118" s="5"/>
      <c r="S118" s="5"/>
      <c r="T118" s="5"/>
      <c r="U118" s="5"/>
      <c r="V118" s="5"/>
      <c r="W118" s="5"/>
      <c r="X118" s="5"/>
      <c r="Y118" s="5"/>
      <c r="Z118" s="5"/>
    </row>
    <row r="119" customFormat="false" ht="13.5" hidden="false" customHeight="true" outlineLevel="0" collapsed="false">
      <c r="A119" s="39" t="n">
        <v>1</v>
      </c>
      <c r="B119" s="60" t="s">
        <v>319</v>
      </c>
      <c r="C119" s="60" t="s">
        <v>320</v>
      </c>
      <c r="D119" s="60" t="s">
        <v>5</v>
      </c>
      <c r="E119" s="61"/>
      <c r="F119" s="61"/>
      <c r="G119" s="61"/>
      <c r="H119" s="61" t="s">
        <v>321</v>
      </c>
      <c r="I119" s="42" t="n">
        <f aca="false">IF($D119="Yes", 1, "")</f>
        <v>1</v>
      </c>
      <c r="J119" s="42" t="str">
        <f aca="false">IF($D119="No", 1, "")</f>
        <v/>
      </c>
      <c r="K119" s="42" t="str">
        <f aca="false">IF($D119="Not Applicable", 1, "")</f>
        <v/>
      </c>
      <c r="L119" s="42" t="str">
        <f aca="false">IF($D119="Refer to comments", 1, "")</f>
        <v/>
      </c>
      <c r="M119" s="42" t="str">
        <f aca="false">IF($D119="Clarification required", 1, "")</f>
        <v/>
      </c>
      <c r="N119" s="5"/>
      <c r="O119" s="5"/>
      <c r="P119" s="5"/>
      <c r="Q119" s="5"/>
      <c r="R119" s="5"/>
      <c r="S119" s="5"/>
      <c r="T119" s="5"/>
      <c r="U119" s="5"/>
      <c r="V119" s="5"/>
      <c r="W119" s="5"/>
      <c r="X119" s="5"/>
      <c r="Y119" s="5"/>
      <c r="Z119" s="5"/>
    </row>
    <row r="120" customFormat="false" ht="13.5" hidden="false" customHeight="true" outlineLevel="0" collapsed="false">
      <c r="A120" s="39" t="n">
        <v>1</v>
      </c>
      <c r="B120" s="60" t="s">
        <v>322</v>
      </c>
      <c r="C120" s="60" t="s">
        <v>323</v>
      </c>
      <c r="D120" s="60" t="s">
        <v>5</v>
      </c>
      <c r="E120" s="61"/>
      <c r="F120" s="61"/>
      <c r="G120" s="61"/>
      <c r="H120" s="61" t="s">
        <v>324</v>
      </c>
      <c r="I120" s="42" t="n">
        <f aca="false">IF($D120="Yes", 1, "")</f>
        <v>1</v>
      </c>
      <c r="J120" s="42" t="str">
        <f aca="false">IF($D120="No", 1, "")</f>
        <v/>
      </c>
      <c r="K120" s="42" t="str">
        <f aca="false">IF($D120="Not Applicable", 1, "")</f>
        <v/>
      </c>
      <c r="L120" s="42" t="str">
        <f aca="false">IF($D120="Refer to comments", 1, "")</f>
        <v/>
      </c>
      <c r="M120" s="42" t="str">
        <f aca="false">IF($D120="Clarification required", 1, "")</f>
        <v/>
      </c>
      <c r="N120" s="5"/>
      <c r="O120" s="5"/>
      <c r="P120" s="5"/>
      <c r="Q120" s="5"/>
      <c r="R120" s="5"/>
      <c r="S120" s="5"/>
      <c r="T120" s="5"/>
      <c r="U120" s="5"/>
      <c r="V120" s="5"/>
      <c r="W120" s="5"/>
      <c r="X120" s="5"/>
      <c r="Y120" s="5"/>
      <c r="Z120" s="5"/>
    </row>
    <row r="121" customFormat="false" ht="13.5" hidden="false" customHeight="true" outlineLevel="0" collapsed="false">
      <c r="A121" s="39" t="n">
        <v>1</v>
      </c>
      <c r="B121" s="64" t="n">
        <v>6.5</v>
      </c>
      <c r="C121" s="56" t="s">
        <v>325</v>
      </c>
      <c r="D121" s="56" t="s">
        <v>6</v>
      </c>
      <c r="E121" s="57"/>
      <c r="F121" s="57"/>
      <c r="G121" s="57"/>
      <c r="H121" s="57" t="s">
        <v>326</v>
      </c>
      <c r="I121" s="42" t="str">
        <f aca="false">IF($D121="Yes", 1, "")</f>
        <v/>
      </c>
      <c r="J121" s="42" t="n">
        <f aca="false">IF($D121="No", 1, "")</f>
        <v>1</v>
      </c>
      <c r="K121" s="42" t="str">
        <f aca="false">IF($D121="Not Applicable", 1, "")</f>
        <v/>
      </c>
      <c r="L121" s="42" t="str">
        <f aca="false">IF($D121="Refer to comments", 1, "")</f>
        <v/>
      </c>
      <c r="M121" s="42" t="str">
        <f aca="false">IF($D121="Clarification required", 1, "")</f>
        <v/>
      </c>
      <c r="N121" s="5"/>
      <c r="O121" s="5"/>
      <c r="P121" s="5"/>
      <c r="Q121" s="5"/>
      <c r="R121" s="5"/>
      <c r="S121" s="5"/>
      <c r="T121" s="5"/>
      <c r="U121" s="5"/>
      <c r="V121" s="5"/>
      <c r="W121" s="5"/>
      <c r="X121" s="5"/>
      <c r="Y121" s="5"/>
      <c r="Z121" s="5"/>
    </row>
    <row r="122" customFormat="false" ht="13.5" hidden="false" customHeight="true" outlineLevel="0" collapsed="false">
      <c r="A122" s="39" t="n">
        <v>1</v>
      </c>
      <c r="B122" s="60" t="s">
        <v>327</v>
      </c>
      <c r="C122" s="60" t="s">
        <v>328</v>
      </c>
      <c r="D122" s="60" t="s">
        <v>5</v>
      </c>
      <c r="E122" s="61"/>
      <c r="F122" s="61"/>
      <c r="G122" s="61"/>
      <c r="H122" s="61" t="s">
        <v>329</v>
      </c>
      <c r="I122" s="42" t="n">
        <f aca="false">IF($D122="Yes", 1, "")</f>
        <v>1</v>
      </c>
      <c r="J122" s="42" t="str">
        <f aca="false">IF($D122="No", 1, "")</f>
        <v/>
      </c>
      <c r="K122" s="42" t="str">
        <f aca="false">IF($D122="Not Applicable", 1, "")</f>
        <v/>
      </c>
      <c r="L122" s="42" t="str">
        <f aca="false">IF($D122="Refer to comments", 1, "")</f>
        <v/>
      </c>
      <c r="M122" s="42" t="str">
        <f aca="false">IF($D122="Clarification required", 1, "")</f>
        <v/>
      </c>
      <c r="N122" s="5"/>
      <c r="O122" s="5"/>
      <c r="P122" s="5"/>
      <c r="Q122" s="5"/>
      <c r="R122" s="5"/>
      <c r="S122" s="5"/>
      <c r="T122" s="5"/>
      <c r="U122" s="5"/>
      <c r="V122" s="5"/>
      <c r="W122" s="5"/>
      <c r="X122" s="5"/>
      <c r="Y122" s="5"/>
      <c r="Z122" s="5"/>
    </row>
    <row r="123" customFormat="false" ht="13.5" hidden="false" customHeight="true" outlineLevel="0" collapsed="false">
      <c r="A123" s="39" t="n">
        <v>1</v>
      </c>
      <c r="B123" s="60" t="s">
        <v>330</v>
      </c>
      <c r="C123" s="60" t="s">
        <v>331</v>
      </c>
      <c r="D123" s="60" t="s">
        <v>6</v>
      </c>
      <c r="E123" s="61"/>
      <c r="F123" s="61"/>
      <c r="G123" s="61"/>
      <c r="H123" s="61" t="s">
        <v>332</v>
      </c>
      <c r="I123" s="42" t="str">
        <f aca="false">IF($D123="Yes", 1, "")</f>
        <v/>
      </c>
      <c r="J123" s="42" t="n">
        <f aca="false">IF($D123="No", 1, "")</f>
        <v>1</v>
      </c>
      <c r="K123" s="42" t="str">
        <f aca="false">IF($D123="Not Applicable", 1, "")</f>
        <v/>
      </c>
      <c r="L123" s="42" t="str">
        <f aca="false">IF($D123="Refer to comments", 1, "")</f>
        <v/>
      </c>
      <c r="M123" s="42" t="str">
        <f aca="false">IF($D123="Clarification required", 1, "")</f>
        <v/>
      </c>
      <c r="N123" s="5"/>
      <c r="O123" s="5"/>
      <c r="P123" s="5"/>
      <c r="Q123" s="5"/>
      <c r="R123" s="5"/>
      <c r="S123" s="5"/>
      <c r="T123" s="5"/>
      <c r="U123" s="5"/>
      <c r="V123" s="5"/>
      <c r="W123" s="5"/>
      <c r="X123" s="5"/>
      <c r="Y123" s="5"/>
      <c r="Z123" s="5"/>
    </row>
    <row r="124" customFormat="false" ht="13.5" hidden="false" customHeight="true" outlineLevel="0" collapsed="false">
      <c r="A124" s="39" t="n">
        <v>1</v>
      </c>
      <c r="B124" s="60" t="s">
        <v>333</v>
      </c>
      <c r="C124" s="60" t="s">
        <v>334</v>
      </c>
      <c r="D124" s="60" t="s">
        <v>5</v>
      </c>
      <c r="E124" s="61"/>
      <c r="F124" s="61"/>
      <c r="G124" s="61"/>
      <c r="H124" s="61" t="s">
        <v>335</v>
      </c>
      <c r="I124" s="42" t="n">
        <f aca="false">IF($D124="Yes", 1, "")</f>
        <v>1</v>
      </c>
      <c r="J124" s="42" t="str">
        <f aca="false">IF($D124="No", 1, "")</f>
        <v/>
      </c>
      <c r="K124" s="42" t="str">
        <f aca="false">IF($D124="Not Applicable", 1, "")</f>
        <v/>
      </c>
      <c r="L124" s="42" t="str">
        <f aca="false">IF($D124="Refer to comments", 1, "")</f>
        <v/>
      </c>
      <c r="M124" s="42" t="str">
        <f aca="false">IF($D124="Clarification required", 1, "")</f>
        <v/>
      </c>
      <c r="N124" s="5"/>
      <c r="O124" s="5"/>
      <c r="P124" s="5"/>
      <c r="Q124" s="5"/>
      <c r="R124" s="5"/>
      <c r="S124" s="5"/>
      <c r="T124" s="5"/>
      <c r="U124" s="5"/>
      <c r="V124" s="5"/>
      <c r="W124" s="5"/>
      <c r="X124" s="5"/>
      <c r="Y124" s="5"/>
      <c r="Z124" s="5"/>
    </row>
    <row r="125" customFormat="false" ht="13.5" hidden="false" customHeight="true" outlineLevel="0" collapsed="false">
      <c r="A125" s="39" t="n">
        <v>1</v>
      </c>
      <c r="B125" s="64" t="s">
        <v>336</v>
      </c>
      <c r="C125" s="56" t="s">
        <v>337</v>
      </c>
      <c r="D125" s="56" t="s">
        <v>8</v>
      </c>
      <c r="E125" s="57"/>
      <c r="F125" s="57"/>
      <c r="G125" s="57"/>
      <c r="H125" s="57" t="s">
        <v>338</v>
      </c>
      <c r="I125" s="42" t="str">
        <f aca="false">IF($D125="Yes", 1, "")</f>
        <v/>
      </c>
      <c r="J125" s="42" t="str">
        <f aca="false">IF($D125="No", 1, "")</f>
        <v/>
      </c>
      <c r="K125" s="42" t="str">
        <f aca="false">IF($D125="Not Applicable", 1, "")</f>
        <v/>
      </c>
      <c r="L125" s="42" t="n">
        <f aca="false">IF($D125="Refer to comments", 1, "")</f>
        <v>1</v>
      </c>
      <c r="M125" s="42" t="str">
        <f aca="false">IF($D125="Clarification required", 1, "")</f>
        <v/>
      </c>
      <c r="N125" s="5"/>
      <c r="O125" s="5"/>
      <c r="P125" s="5"/>
      <c r="Q125" s="5"/>
      <c r="R125" s="5"/>
      <c r="S125" s="5"/>
      <c r="T125" s="5"/>
      <c r="U125" s="5"/>
      <c r="V125" s="5"/>
      <c r="W125" s="5"/>
      <c r="X125" s="5"/>
      <c r="Y125" s="5"/>
      <c r="Z125" s="5"/>
    </row>
    <row r="126" customFormat="false" ht="13.5" hidden="false" customHeight="true" outlineLevel="0" collapsed="false">
      <c r="A126" s="39" t="n">
        <v>1</v>
      </c>
      <c r="B126" s="64" t="s">
        <v>339</v>
      </c>
      <c r="C126" s="56" t="s">
        <v>340</v>
      </c>
      <c r="D126" s="56" t="s">
        <v>6</v>
      </c>
      <c r="E126" s="57"/>
      <c r="F126" s="57"/>
      <c r="G126" s="57"/>
      <c r="H126" s="57" t="s">
        <v>341</v>
      </c>
      <c r="I126" s="42" t="str">
        <f aca="false">IF($D126="Yes", 1, "")</f>
        <v/>
      </c>
      <c r="J126" s="42" t="n">
        <f aca="false">IF($D126="No", 1, "")</f>
        <v>1</v>
      </c>
      <c r="K126" s="42" t="str">
        <f aca="false">IF($D126="Not Applicable", 1, "")</f>
        <v/>
      </c>
      <c r="L126" s="42" t="str">
        <f aca="false">IF($D126="Refer to comments", 1, "")</f>
        <v/>
      </c>
      <c r="M126" s="42" t="str">
        <f aca="false">IF($D126="Clarification required", 1, "")</f>
        <v/>
      </c>
      <c r="N126" s="5"/>
      <c r="O126" s="5"/>
      <c r="P126" s="5"/>
      <c r="Q126" s="5"/>
      <c r="R126" s="5"/>
      <c r="S126" s="5"/>
      <c r="T126" s="5"/>
      <c r="U126" s="5"/>
      <c r="V126" s="5"/>
      <c r="W126" s="5"/>
      <c r="X126" s="5"/>
      <c r="Y126" s="5"/>
      <c r="Z126" s="5"/>
    </row>
    <row r="127" customFormat="false" ht="13.5" hidden="false" customHeight="true" outlineLevel="0" collapsed="false">
      <c r="A127" s="39" t="n">
        <v>1</v>
      </c>
      <c r="B127" s="60" t="n">
        <v>6.8</v>
      </c>
      <c r="C127" s="60" t="s">
        <v>342</v>
      </c>
      <c r="D127" s="60" t="s">
        <v>8</v>
      </c>
      <c r="E127" s="61"/>
      <c r="F127" s="61"/>
      <c r="G127" s="61"/>
      <c r="H127" s="61" t="s">
        <v>343</v>
      </c>
      <c r="I127" s="42" t="str">
        <f aca="false">IF($D127="Yes", 1, "")</f>
        <v/>
      </c>
      <c r="J127" s="42" t="str">
        <f aca="false">IF($D127="No", 1, "")</f>
        <v/>
      </c>
      <c r="K127" s="42" t="str">
        <f aca="false">IF($D127="Not Applicable", 1, "")</f>
        <v/>
      </c>
      <c r="L127" s="42" t="n">
        <f aca="false">IF($D127="Refer to comments", 1, "")</f>
        <v>1</v>
      </c>
      <c r="M127" s="42" t="str">
        <f aca="false">IF($D127="Clarification required", 1, "")</f>
        <v/>
      </c>
      <c r="N127" s="5"/>
      <c r="O127" s="5"/>
      <c r="P127" s="5"/>
      <c r="Q127" s="5"/>
      <c r="R127" s="5"/>
      <c r="S127" s="5"/>
      <c r="T127" s="5"/>
      <c r="U127" s="5"/>
      <c r="V127" s="5"/>
      <c r="W127" s="5"/>
      <c r="X127" s="5"/>
      <c r="Y127" s="5"/>
      <c r="Z127" s="5"/>
    </row>
    <row r="128" customFormat="false" ht="39.75" hidden="false" customHeight="true" outlineLevel="0" collapsed="false">
      <c r="A128" s="39"/>
      <c r="B128" s="58" t="s">
        <v>344</v>
      </c>
      <c r="C128" s="58"/>
      <c r="D128" s="59" t="s">
        <v>32</v>
      </c>
      <c r="E128" s="53" t="s">
        <v>33</v>
      </c>
      <c r="F128" s="53" t="s">
        <v>34</v>
      </c>
      <c r="G128" s="53" t="s">
        <v>35</v>
      </c>
      <c r="H128" s="59" t="s">
        <v>36</v>
      </c>
      <c r="I128" s="50" t="s">
        <v>5</v>
      </c>
      <c r="J128" s="50" t="s">
        <v>6</v>
      </c>
      <c r="K128" s="51" t="s">
        <v>37</v>
      </c>
      <c r="L128" s="51" t="s">
        <v>8</v>
      </c>
      <c r="M128" s="51" t="s">
        <v>9</v>
      </c>
      <c r="N128" s="5"/>
      <c r="O128" s="5"/>
      <c r="P128" s="5"/>
      <c r="Q128" s="5"/>
      <c r="R128" s="5"/>
      <c r="S128" s="5"/>
      <c r="T128" s="5"/>
      <c r="U128" s="5"/>
      <c r="V128" s="5"/>
      <c r="W128" s="5"/>
      <c r="X128" s="5"/>
      <c r="Y128" s="5"/>
      <c r="Z128" s="5"/>
    </row>
    <row r="129" customFormat="false" ht="13.5" hidden="false" customHeight="true" outlineLevel="0" collapsed="false">
      <c r="A129" s="39" t="n">
        <v>1</v>
      </c>
      <c r="B129" s="64" t="n">
        <v>7.1</v>
      </c>
      <c r="C129" s="56" t="s">
        <v>345</v>
      </c>
      <c r="D129" s="56" t="s">
        <v>5</v>
      </c>
      <c r="E129" s="57"/>
      <c r="F129" s="57"/>
      <c r="G129" s="57"/>
      <c r="H129" s="57" t="s">
        <v>346</v>
      </c>
      <c r="I129" s="42" t="n">
        <f aca="false">IF($D129="Yes", 1, "")</f>
        <v>1</v>
      </c>
      <c r="J129" s="42" t="str">
        <f aca="false">IF($D129="No", 1, "")</f>
        <v/>
      </c>
      <c r="K129" s="42" t="str">
        <f aca="false">IF($D129="Not Applicable", 1, "")</f>
        <v/>
      </c>
      <c r="L129" s="42" t="str">
        <f aca="false">IF($D129="Refer to comments", 1, "")</f>
        <v/>
      </c>
      <c r="M129" s="42" t="str">
        <f aca="false">IF($D129="Clarification required", 1, "")</f>
        <v/>
      </c>
      <c r="N129" s="5"/>
      <c r="O129" s="5"/>
      <c r="P129" s="5"/>
      <c r="Q129" s="5"/>
      <c r="R129" s="5"/>
      <c r="S129" s="5"/>
      <c r="T129" s="5"/>
      <c r="U129" s="5"/>
      <c r="V129" s="5"/>
      <c r="W129" s="5"/>
      <c r="X129" s="5"/>
      <c r="Y129" s="5"/>
      <c r="Z129" s="5"/>
    </row>
    <row r="130" customFormat="false" ht="13.5" hidden="false" customHeight="true" outlineLevel="0" collapsed="false">
      <c r="A130" s="39" t="n">
        <v>1</v>
      </c>
      <c r="B130" s="60" t="n">
        <v>7.2</v>
      </c>
      <c r="C130" s="60" t="s">
        <v>347</v>
      </c>
      <c r="D130" s="60" t="s">
        <v>5</v>
      </c>
      <c r="E130" s="61"/>
      <c r="F130" s="61"/>
      <c r="G130" s="61"/>
      <c r="H130" s="61" t="s">
        <v>348</v>
      </c>
      <c r="I130" s="42" t="n">
        <f aca="false">IF($D130="Yes", 1, "")</f>
        <v>1</v>
      </c>
      <c r="J130" s="42" t="str">
        <f aca="false">IF($D130="No", 1, "")</f>
        <v/>
      </c>
      <c r="K130" s="42" t="str">
        <f aca="false">IF($D130="Not Applicable", 1, "")</f>
        <v/>
      </c>
      <c r="L130" s="42" t="str">
        <f aca="false">IF($D130="Refer to comments", 1, "")</f>
        <v/>
      </c>
      <c r="M130" s="42" t="str">
        <f aca="false">IF($D130="Clarification required", 1, "")</f>
        <v/>
      </c>
      <c r="N130" s="5"/>
      <c r="O130" s="5"/>
      <c r="P130" s="5"/>
      <c r="Q130" s="5"/>
      <c r="R130" s="5"/>
      <c r="S130" s="5"/>
      <c r="T130" s="5"/>
      <c r="U130" s="5"/>
      <c r="V130" s="5"/>
      <c r="W130" s="5"/>
      <c r="X130" s="5"/>
      <c r="Y130" s="5"/>
      <c r="Z130" s="5"/>
    </row>
    <row r="131" customFormat="false" ht="13.5" hidden="false" customHeight="true" outlineLevel="0" collapsed="false">
      <c r="A131" s="39" t="n">
        <v>1</v>
      </c>
      <c r="B131" s="64" t="n">
        <v>7.3</v>
      </c>
      <c r="C131" s="56" t="s">
        <v>349</v>
      </c>
      <c r="D131" s="56" t="s">
        <v>5</v>
      </c>
      <c r="E131" s="57"/>
      <c r="F131" s="57"/>
      <c r="G131" s="57"/>
      <c r="H131" s="57" t="s">
        <v>350</v>
      </c>
      <c r="I131" s="42" t="n">
        <f aca="false">IF($D131="Yes", 1, "")</f>
        <v>1</v>
      </c>
      <c r="J131" s="42" t="str">
        <f aca="false">IF($D131="No", 1, "")</f>
        <v/>
      </c>
      <c r="K131" s="42" t="str">
        <f aca="false">IF($D131="Not Applicable", 1, "")</f>
        <v/>
      </c>
      <c r="L131" s="42" t="str">
        <f aca="false">IF($D131="Refer to comments", 1, "")</f>
        <v/>
      </c>
      <c r="M131" s="42" t="str">
        <f aca="false">IF($D131="Clarification required", 1, "")</f>
        <v/>
      </c>
      <c r="N131" s="5"/>
      <c r="O131" s="5"/>
      <c r="P131" s="5"/>
      <c r="Q131" s="5"/>
      <c r="R131" s="5"/>
      <c r="S131" s="5"/>
      <c r="T131" s="5"/>
      <c r="U131" s="5"/>
      <c r="V131" s="5"/>
      <c r="W131" s="5"/>
      <c r="X131" s="5"/>
      <c r="Y131" s="5"/>
      <c r="Z131" s="5"/>
    </row>
    <row r="132" customFormat="false" ht="13.5" hidden="false" customHeight="true" outlineLevel="0" collapsed="false">
      <c r="A132" s="39" t="n">
        <v>1</v>
      </c>
      <c r="B132" s="60" t="n">
        <v>7.4</v>
      </c>
      <c r="C132" s="60" t="s">
        <v>351</v>
      </c>
      <c r="D132" s="60" t="s">
        <v>8</v>
      </c>
      <c r="E132" s="61"/>
      <c r="F132" s="61"/>
      <c r="G132" s="61"/>
      <c r="H132" s="61" t="s">
        <v>352</v>
      </c>
      <c r="I132" s="42" t="str">
        <f aca="false">IF($D132="Yes", 1, "")</f>
        <v/>
      </c>
      <c r="J132" s="42" t="str">
        <f aca="false">IF($D132="No", 1, "")</f>
        <v/>
      </c>
      <c r="K132" s="42" t="str">
        <f aca="false">IF($D132="Not Applicable", 1, "")</f>
        <v/>
      </c>
      <c r="L132" s="42" t="n">
        <f aca="false">IF($D132="Refer to comments", 1, "")</f>
        <v>1</v>
      </c>
      <c r="M132" s="42" t="str">
        <f aca="false">IF($D132="Clarification required", 1, "")</f>
        <v/>
      </c>
      <c r="N132" s="5"/>
      <c r="O132" s="5"/>
      <c r="P132" s="5"/>
      <c r="Q132" s="5"/>
      <c r="R132" s="5"/>
      <c r="S132" s="5"/>
      <c r="T132" s="5"/>
      <c r="U132" s="5"/>
      <c r="V132" s="5"/>
      <c r="W132" s="5"/>
      <c r="X132" s="5"/>
      <c r="Y132" s="5"/>
      <c r="Z132" s="5"/>
    </row>
    <row r="133" customFormat="false" ht="13.5" hidden="false" customHeight="true" outlineLevel="0" collapsed="false">
      <c r="A133" s="39" t="n">
        <v>1</v>
      </c>
      <c r="B133" s="64" t="n">
        <v>7.5</v>
      </c>
      <c r="C133" s="56" t="s">
        <v>353</v>
      </c>
      <c r="D133" s="56" t="s">
        <v>5</v>
      </c>
      <c r="E133" s="57"/>
      <c r="F133" s="57"/>
      <c r="G133" s="57"/>
      <c r="H133" s="57" t="s">
        <v>354</v>
      </c>
      <c r="I133" s="42" t="n">
        <f aca="false">IF($D133="Yes", 1, "")</f>
        <v>1</v>
      </c>
      <c r="J133" s="42" t="str">
        <f aca="false">IF($D133="No", 1, "")</f>
        <v/>
      </c>
      <c r="K133" s="42" t="str">
        <f aca="false">IF($D133="Not Applicable", 1, "")</f>
        <v/>
      </c>
      <c r="L133" s="42" t="str">
        <f aca="false">IF($D133="Refer to comments", 1, "")</f>
        <v/>
      </c>
      <c r="M133" s="42" t="str">
        <f aca="false">IF($D133="Clarification required", 1, "")</f>
        <v/>
      </c>
      <c r="N133" s="5"/>
      <c r="O133" s="5"/>
      <c r="P133" s="5"/>
      <c r="Q133" s="5"/>
      <c r="R133" s="5"/>
      <c r="S133" s="5"/>
      <c r="T133" s="5"/>
      <c r="U133" s="5"/>
      <c r="V133" s="5"/>
      <c r="W133" s="5"/>
      <c r="X133" s="5"/>
      <c r="Y133" s="5"/>
      <c r="Z133" s="5"/>
    </row>
    <row r="134" customFormat="false" ht="13.5" hidden="false" customHeight="true" outlineLevel="0" collapsed="false">
      <c r="A134" s="39" t="n">
        <v>1</v>
      </c>
      <c r="B134" s="60" t="n">
        <v>7.6</v>
      </c>
      <c r="C134" s="60" t="s">
        <v>355</v>
      </c>
      <c r="D134" s="60" t="s">
        <v>8</v>
      </c>
      <c r="E134" s="61"/>
      <c r="F134" s="61"/>
      <c r="G134" s="61"/>
      <c r="H134" s="61" t="s">
        <v>356</v>
      </c>
      <c r="I134" s="42" t="str">
        <f aca="false">IF($D134="Yes", 1, "")</f>
        <v/>
      </c>
      <c r="J134" s="42" t="str">
        <f aca="false">IF($D134="No", 1, "")</f>
        <v/>
      </c>
      <c r="K134" s="42" t="str">
        <f aca="false">IF($D134="Not Applicable", 1, "")</f>
        <v/>
      </c>
      <c r="L134" s="42" t="n">
        <f aca="false">IF($D134="Refer to comments", 1, "")</f>
        <v>1</v>
      </c>
      <c r="M134" s="42" t="str">
        <f aca="false">IF($D134="Clarification required", 1, "")</f>
        <v/>
      </c>
      <c r="N134" s="5"/>
      <c r="O134" s="5"/>
      <c r="P134" s="5"/>
      <c r="Q134" s="5"/>
      <c r="R134" s="5"/>
      <c r="S134" s="5"/>
      <c r="T134" s="5"/>
      <c r="U134" s="5"/>
      <c r="V134" s="5"/>
      <c r="W134" s="5"/>
      <c r="X134" s="5"/>
      <c r="Y134" s="5"/>
      <c r="Z134" s="5"/>
    </row>
    <row r="135" customFormat="false" ht="13.5" hidden="false" customHeight="true" outlineLevel="0" collapsed="false">
      <c r="A135" s="39" t="n">
        <v>1</v>
      </c>
      <c r="B135" s="64" t="n">
        <v>7.7</v>
      </c>
      <c r="C135" s="56" t="s">
        <v>357</v>
      </c>
      <c r="D135" s="56" t="s">
        <v>6</v>
      </c>
      <c r="E135" s="57"/>
      <c r="F135" s="57"/>
      <c r="G135" s="57"/>
      <c r="H135" s="57" t="s">
        <v>358</v>
      </c>
      <c r="I135" s="42" t="str">
        <f aca="false">IF($D135="Yes", 1, "")</f>
        <v/>
      </c>
      <c r="J135" s="42" t="n">
        <f aca="false">IF($D135="No", 1, "")</f>
        <v>1</v>
      </c>
      <c r="K135" s="42" t="str">
        <f aca="false">IF($D135="Not Applicable", 1, "")</f>
        <v/>
      </c>
      <c r="L135" s="42" t="str">
        <f aca="false">IF($D135="Refer to comments", 1, "")</f>
        <v/>
      </c>
      <c r="M135" s="42" t="str">
        <f aca="false">IF($D135="Clarification required", 1, "")</f>
        <v/>
      </c>
      <c r="N135" s="5"/>
      <c r="O135" s="5"/>
      <c r="P135" s="5"/>
      <c r="Q135" s="5"/>
      <c r="R135" s="5"/>
      <c r="S135" s="5"/>
      <c r="T135" s="5"/>
      <c r="U135" s="5"/>
      <c r="V135" s="5"/>
      <c r="W135" s="5"/>
      <c r="X135" s="5"/>
      <c r="Y135" s="5"/>
      <c r="Z135" s="5"/>
    </row>
    <row r="136" customFormat="false" ht="13.5" hidden="false" customHeight="true" outlineLevel="0" collapsed="false">
      <c r="A136" s="39" t="n">
        <v>1</v>
      </c>
      <c r="B136" s="60" t="n">
        <v>7.8</v>
      </c>
      <c r="C136" s="60" t="s">
        <v>359</v>
      </c>
      <c r="D136" s="60" t="s">
        <v>5</v>
      </c>
      <c r="E136" s="61"/>
      <c r="F136" s="61"/>
      <c r="G136" s="61"/>
      <c r="H136" s="61" t="s">
        <v>360</v>
      </c>
      <c r="I136" s="42" t="n">
        <f aca="false">IF($D136="Yes", 1, "")</f>
        <v>1</v>
      </c>
      <c r="J136" s="42" t="str">
        <f aca="false">IF($D136="No", 1, "")</f>
        <v/>
      </c>
      <c r="K136" s="42" t="str">
        <f aca="false">IF($D136="Not Applicable", 1, "")</f>
        <v/>
      </c>
      <c r="L136" s="42" t="str">
        <f aca="false">IF($D136="Refer to comments", 1, "")</f>
        <v/>
      </c>
      <c r="M136" s="42" t="str">
        <f aca="false">IF($D136="Clarification required", 1, "")</f>
        <v/>
      </c>
      <c r="N136" s="5"/>
      <c r="O136" s="5"/>
      <c r="P136" s="5"/>
      <c r="Q136" s="5"/>
      <c r="R136" s="5"/>
      <c r="S136" s="5"/>
      <c r="T136" s="5"/>
      <c r="U136" s="5"/>
      <c r="V136" s="5"/>
      <c r="W136" s="5"/>
      <c r="X136" s="5"/>
      <c r="Y136" s="5"/>
      <c r="Z136" s="5"/>
    </row>
    <row r="137" customFormat="false" ht="13.5" hidden="false" customHeight="true" outlineLevel="0" collapsed="false">
      <c r="A137" s="39" t="n">
        <v>1</v>
      </c>
      <c r="B137" s="64" t="n">
        <v>7.9</v>
      </c>
      <c r="C137" s="56" t="s">
        <v>361</v>
      </c>
      <c r="D137" s="56" t="s">
        <v>8</v>
      </c>
      <c r="E137" s="57"/>
      <c r="F137" s="57"/>
      <c r="G137" s="57"/>
      <c r="H137" s="57" t="s">
        <v>362</v>
      </c>
      <c r="I137" s="42" t="str">
        <f aca="false">IF($D137="Yes", 1, "")</f>
        <v/>
      </c>
      <c r="J137" s="42" t="str">
        <f aca="false">IF($D137="No", 1, "")</f>
        <v/>
      </c>
      <c r="K137" s="42" t="str">
        <f aca="false">IF($D137="Not Applicable", 1, "")</f>
        <v/>
      </c>
      <c r="L137" s="42" t="n">
        <f aca="false">IF($D137="Refer to comments", 1, "")</f>
        <v>1</v>
      </c>
      <c r="M137" s="42" t="str">
        <f aca="false">IF($D137="Clarification required", 1, "")</f>
        <v/>
      </c>
      <c r="N137" s="5"/>
      <c r="O137" s="5"/>
      <c r="P137" s="5"/>
      <c r="Q137" s="5"/>
      <c r="R137" s="5"/>
      <c r="S137" s="5"/>
      <c r="T137" s="5"/>
      <c r="U137" s="5"/>
      <c r="V137" s="5"/>
      <c r="W137" s="5"/>
      <c r="X137" s="5"/>
      <c r="Y137" s="5"/>
      <c r="Z137" s="5"/>
    </row>
    <row r="138" customFormat="false" ht="13.5" hidden="false" customHeight="true" outlineLevel="0" collapsed="false">
      <c r="A138" s="39" t="n">
        <v>1</v>
      </c>
      <c r="B138" s="65" t="n">
        <v>7.1</v>
      </c>
      <c r="C138" s="60" t="s">
        <v>363</v>
      </c>
      <c r="D138" s="60" t="s">
        <v>8</v>
      </c>
      <c r="E138" s="61"/>
      <c r="F138" s="61"/>
      <c r="G138" s="61"/>
      <c r="H138" s="61" t="s">
        <v>364</v>
      </c>
      <c r="I138" s="42" t="str">
        <f aca="false">IF($D138="Yes", 1, "")</f>
        <v/>
      </c>
      <c r="J138" s="42" t="str">
        <f aca="false">IF($D138="No", 1, "")</f>
        <v/>
      </c>
      <c r="K138" s="42" t="str">
        <f aca="false">IF($D138="Not Applicable", 1, "")</f>
        <v/>
      </c>
      <c r="L138" s="42" t="n">
        <f aca="false">IF($D138="Refer to comments", 1, "")</f>
        <v>1</v>
      </c>
      <c r="M138" s="42" t="str">
        <f aca="false">IF($D138="Clarification required", 1, "")</f>
        <v/>
      </c>
      <c r="N138" s="5"/>
      <c r="O138" s="5"/>
      <c r="P138" s="5"/>
      <c r="Q138" s="5"/>
      <c r="R138" s="5"/>
      <c r="S138" s="5"/>
      <c r="T138" s="5"/>
      <c r="U138" s="5"/>
      <c r="V138" s="5"/>
      <c r="W138" s="5"/>
      <c r="X138" s="5"/>
      <c r="Y138" s="5"/>
      <c r="Z138" s="5"/>
    </row>
    <row r="139" customFormat="false" ht="13.5" hidden="false" customHeight="true" outlineLevel="0" collapsed="false">
      <c r="A139" s="39" t="n">
        <v>1</v>
      </c>
      <c r="B139" s="62" t="n">
        <v>7.11</v>
      </c>
      <c r="C139" s="56" t="s">
        <v>365</v>
      </c>
      <c r="D139" s="56" t="s">
        <v>5</v>
      </c>
      <c r="E139" s="57"/>
      <c r="F139" s="57"/>
      <c r="G139" s="57"/>
      <c r="H139" s="57" t="s">
        <v>366</v>
      </c>
      <c r="I139" s="42" t="n">
        <f aca="false">IF($D139="Yes", 1, "")</f>
        <v>1</v>
      </c>
      <c r="J139" s="42" t="str">
        <f aca="false">IF($D139="No", 1, "")</f>
        <v/>
      </c>
      <c r="K139" s="42" t="str">
        <f aca="false">IF($D139="Not Applicable", 1, "")</f>
        <v/>
      </c>
      <c r="L139" s="42" t="str">
        <f aca="false">IF($D139="Refer to comments", 1, "")</f>
        <v/>
      </c>
      <c r="M139" s="42" t="str">
        <f aca="false">IF($D139="Clarification required", 1, "")</f>
        <v/>
      </c>
      <c r="N139" s="5"/>
      <c r="O139" s="5"/>
      <c r="P139" s="5"/>
      <c r="Q139" s="5"/>
      <c r="R139" s="5"/>
      <c r="S139" s="5"/>
      <c r="T139" s="5"/>
      <c r="U139" s="5"/>
      <c r="V139" s="5"/>
      <c r="W139" s="5"/>
      <c r="X139" s="5"/>
      <c r="Y139" s="5"/>
      <c r="Z139" s="5"/>
    </row>
    <row r="140" customFormat="false" ht="13.5" hidden="false" customHeight="true" outlineLevel="0" collapsed="false">
      <c r="A140" s="39" t="n">
        <v>1</v>
      </c>
      <c r="B140" s="60" t="n">
        <v>7.12</v>
      </c>
      <c r="C140" s="60" t="s">
        <v>367</v>
      </c>
      <c r="D140" s="60" t="s">
        <v>6</v>
      </c>
      <c r="E140" s="61"/>
      <c r="F140" s="61"/>
      <c r="G140" s="61"/>
      <c r="H140" s="61" t="s">
        <v>368</v>
      </c>
      <c r="I140" s="42" t="str">
        <f aca="false">IF($D140="Yes", 1, "")</f>
        <v/>
      </c>
      <c r="J140" s="42" t="n">
        <f aca="false">IF($D140="No", 1, "")</f>
        <v>1</v>
      </c>
      <c r="K140" s="42" t="str">
        <f aca="false">IF($D140="Not Applicable", 1, "")</f>
        <v/>
      </c>
      <c r="L140" s="42" t="str">
        <f aca="false">IF($D140="Refer to comments", 1, "")</f>
        <v/>
      </c>
      <c r="M140" s="42" t="str">
        <f aca="false">IF($D140="Clarification required", 1, "")</f>
        <v/>
      </c>
      <c r="N140" s="5"/>
      <c r="O140" s="5"/>
      <c r="P140" s="5"/>
      <c r="Q140" s="5"/>
      <c r="R140" s="5"/>
      <c r="S140" s="5"/>
      <c r="T140" s="5"/>
      <c r="U140" s="5"/>
      <c r="V140" s="5"/>
      <c r="W140" s="5"/>
      <c r="X140" s="5"/>
      <c r="Y140" s="5"/>
      <c r="Z140" s="5"/>
    </row>
    <row r="141" customFormat="false" ht="13.5" hidden="false" customHeight="true" outlineLevel="0" collapsed="false">
      <c r="A141" s="39" t="n">
        <v>1</v>
      </c>
      <c r="B141" s="62" t="n">
        <v>7.13</v>
      </c>
      <c r="C141" s="66" t="s">
        <v>369</v>
      </c>
      <c r="D141" s="56" t="s">
        <v>5</v>
      </c>
      <c r="E141" s="57"/>
      <c r="F141" s="57"/>
      <c r="G141" s="57"/>
      <c r="H141" s="57" t="s">
        <v>370</v>
      </c>
      <c r="I141" s="42" t="n">
        <f aca="false">IF($D141="Yes", 1, "")</f>
        <v>1</v>
      </c>
      <c r="J141" s="42" t="str">
        <f aca="false">IF($D141="No", 1, "")</f>
        <v/>
      </c>
      <c r="K141" s="42" t="str">
        <f aca="false">IF($D141="Not Applicable", 1, "")</f>
        <v/>
      </c>
      <c r="L141" s="42" t="str">
        <f aca="false">IF($D141="Refer to comments", 1, "")</f>
        <v/>
      </c>
      <c r="M141" s="42" t="str">
        <f aca="false">IF($D141="Clarification required", 1, "")</f>
        <v/>
      </c>
      <c r="N141" s="5"/>
      <c r="O141" s="5"/>
      <c r="P141" s="5"/>
      <c r="Q141" s="5"/>
      <c r="R141" s="5"/>
      <c r="S141" s="5"/>
      <c r="T141" s="5"/>
      <c r="U141" s="5"/>
      <c r="V141" s="5"/>
      <c r="W141" s="5"/>
      <c r="X141" s="5"/>
      <c r="Y141" s="5"/>
      <c r="Z141" s="5"/>
    </row>
    <row r="142" customFormat="false" ht="13.5" hidden="false" customHeight="true" outlineLevel="0" collapsed="false">
      <c r="A142" s="39" t="n">
        <v>1</v>
      </c>
      <c r="B142" s="60" t="n">
        <v>7.14</v>
      </c>
      <c r="C142" s="60" t="s">
        <v>371</v>
      </c>
      <c r="D142" s="60" t="s">
        <v>6</v>
      </c>
      <c r="E142" s="61"/>
      <c r="F142" s="61"/>
      <c r="G142" s="61"/>
      <c r="H142" s="61" t="s">
        <v>372</v>
      </c>
      <c r="I142" s="42" t="str">
        <f aca="false">IF($D142="Yes", 1, "")</f>
        <v/>
      </c>
      <c r="J142" s="42" t="n">
        <f aca="false">IF($D142="No", 1, "")</f>
        <v>1</v>
      </c>
      <c r="K142" s="42" t="str">
        <f aca="false">IF($D142="Not Applicable", 1, "")</f>
        <v/>
      </c>
      <c r="L142" s="42" t="str">
        <f aca="false">IF($D142="Refer to comments", 1, "")</f>
        <v/>
      </c>
      <c r="M142" s="42" t="str">
        <f aca="false">IF($D142="Clarification required", 1, "")</f>
        <v/>
      </c>
      <c r="N142" s="5"/>
      <c r="O142" s="5"/>
      <c r="P142" s="5"/>
      <c r="Q142" s="5"/>
      <c r="R142" s="5"/>
      <c r="S142" s="5"/>
      <c r="T142" s="5"/>
      <c r="U142" s="5"/>
      <c r="V142" s="5"/>
      <c r="W142" s="5"/>
      <c r="X142" s="5"/>
      <c r="Y142" s="5"/>
      <c r="Z142" s="5"/>
    </row>
    <row r="143" customFormat="false" ht="39.75" hidden="false" customHeight="true" outlineLevel="0" collapsed="false">
      <c r="A143" s="39"/>
      <c r="B143" s="58" t="s">
        <v>373</v>
      </c>
      <c r="C143" s="58"/>
      <c r="D143" s="59" t="s">
        <v>32</v>
      </c>
      <c r="E143" s="53" t="s">
        <v>33</v>
      </c>
      <c r="F143" s="53" t="s">
        <v>34</v>
      </c>
      <c r="G143" s="53" t="s">
        <v>35</v>
      </c>
      <c r="H143" s="59" t="s">
        <v>36</v>
      </c>
      <c r="I143" s="50" t="s">
        <v>5</v>
      </c>
      <c r="J143" s="50" t="s">
        <v>6</v>
      </c>
      <c r="K143" s="51" t="s">
        <v>37</v>
      </c>
      <c r="L143" s="51" t="s">
        <v>8</v>
      </c>
      <c r="M143" s="51" t="s">
        <v>9</v>
      </c>
      <c r="N143" s="5"/>
      <c r="O143" s="5"/>
      <c r="P143" s="5"/>
      <c r="Q143" s="5"/>
      <c r="R143" s="5"/>
      <c r="S143" s="5"/>
      <c r="T143" s="5"/>
      <c r="U143" s="5"/>
      <c r="V143" s="5"/>
      <c r="W143" s="5"/>
      <c r="X143" s="5"/>
      <c r="Y143" s="5"/>
      <c r="Z143" s="5"/>
    </row>
    <row r="144" customFormat="false" ht="13.5" hidden="false" customHeight="true" outlineLevel="0" collapsed="false">
      <c r="A144" s="39" t="n">
        <v>1</v>
      </c>
      <c r="B144" s="67" t="n">
        <v>8.1</v>
      </c>
      <c r="C144" s="68" t="s">
        <v>374</v>
      </c>
      <c r="D144" s="56" t="s">
        <v>8</v>
      </c>
      <c r="E144" s="57"/>
      <c r="F144" s="57"/>
      <c r="G144" s="57"/>
      <c r="H144" s="57" t="s">
        <v>375</v>
      </c>
      <c r="I144" s="42" t="str">
        <f aca="false">IF($D144="Yes", 1, "")</f>
        <v/>
      </c>
      <c r="J144" s="42" t="str">
        <f aca="false">IF($D144="No", 1, "")</f>
        <v/>
      </c>
      <c r="K144" s="42" t="str">
        <f aca="false">IF($D144="Not Applicable", 1, "")</f>
        <v/>
      </c>
      <c r="L144" s="42" t="n">
        <f aca="false">IF($D144="Refer to comments", 1, "")</f>
        <v>1</v>
      </c>
      <c r="M144" s="42" t="str">
        <f aca="false">IF($D144="Clarification required", 1, "")</f>
        <v/>
      </c>
      <c r="N144" s="5"/>
      <c r="O144" s="5"/>
      <c r="P144" s="5"/>
      <c r="Q144" s="5"/>
      <c r="R144" s="5"/>
      <c r="S144" s="5"/>
      <c r="T144" s="5"/>
      <c r="U144" s="5"/>
      <c r="V144" s="5"/>
      <c r="W144" s="5"/>
      <c r="X144" s="5"/>
      <c r="Y144" s="5"/>
      <c r="Z144" s="5"/>
    </row>
    <row r="145" customFormat="false" ht="13.5" hidden="false" customHeight="true" outlineLevel="0" collapsed="false">
      <c r="A145" s="39" t="n">
        <v>1</v>
      </c>
      <c r="B145" s="60" t="n">
        <v>8.2</v>
      </c>
      <c r="C145" s="60" t="s">
        <v>376</v>
      </c>
      <c r="D145" s="60" t="s">
        <v>6</v>
      </c>
      <c r="E145" s="61"/>
      <c r="F145" s="61"/>
      <c r="G145" s="61"/>
      <c r="H145" s="61" t="s">
        <v>377</v>
      </c>
      <c r="I145" s="42" t="str">
        <f aca="false">IF($D145="Yes", 1, "")</f>
        <v/>
      </c>
      <c r="J145" s="42" t="n">
        <f aca="false">IF($D145="No", 1, "")</f>
        <v>1</v>
      </c>
      <c r="K145" s="42" t="str">
        <f aca="false">IF($D145="Not Applicable", 1, "")</f>
        <v/>
      </c>
      <c r="L145" s="42" t="str">
        <f aca="false">IF($D145="Refer to comments", 1, "")</f>
        <v/>
      </c>
      <c r="M145" s="42" t="str">
        <f aca="false">IF($D145="Clarification required", 1, "")</f>
        <v/>
      </c>
      <c r="N145" s="5"/>
      <c r="O145" s="5"/>
      <c r="P145" s="5"/>
      <c r="Q145" s="5"/>
      <c r="R145" s="5"/>
      <c r="S145" s="5"/>
      <c r="T145" s="5"/>
      <c r="U145" s="5"/>
      <c r="V145" s="5"/>
      <c r="W145" s="5"/>
      <c r="X145" s="5"/>
      <c r="Y145" s="5"/>
      <c r="Z145" s="5"/>
    </row>
    <row r="146" customFormat="false" ht="13.5" hidden="false" customHeight="true" outlineLevel="0" collapsed="false">
      <c r="A146" s="39" t="n">
        <v>1</v>
      </c>
      <c r="B146" s="67" t="n">
        <v>8.3</v>
      </c>
      <c r="C146" s="68" t="s">
        <v>378</v>
      </c>
      <c r="D146" s="56" t="s">
        <v>8</v>
      </c>
      <c r="E146" s="57"/>
      <c r="F146" s="57"/>
      <c r="G146" s="57"/>
      <c r="H146" s="57" t="s">
        <v>379</v>
      </c>
      <c r="I146" s="42" t="str">
        <f aca="false">IF($D146="Yes", 1, "")</f>
        <v/>
      </c>
      <c r="J146" s="42" t="str">
        <f aca="false">IF($D146="No", 1, "")</f>
        <v/>
      </c>
      <c r="K146" s="42" t="str">
        <f aca="false">IF($D146="Not Applicable", 1, "")</f>
        <v/>
      </c>
      <c r="L146" s="42" t="n">
        <f aca="false">IF($D146="Refer to comments", 1, "")</f>
        <v>1</v>
      </c>
      <c r="M146" s="42" t="str">
        <f aca="false">IF($D146="Clarification required", 1, "")</f>
        <v/>
      </c>
      <c r="N146" s="5"/>
      <c r="O146" s="5"/>
      <c r="P146" s="5"/>
      <c r="Q146" s="5"/>
      <c r="R146" s="5"/>
      <c r="S146" s="5"/>
      <c r="T146" s="5"/>
      <c r="U146" s="5"/>
      <c r="V146" s="5"/>
      <c r="W146" s="5"/>
      <c r="X146" s="5"/>
      <c r="Y146" s="5"/>
      <c r="Z146" s="5"/>
    </row>
    <row r="147" customFormat="false" ht="13.5" hidden="false" customHeight="true" outlineLevel="0" collapsed="false">
      <c r="A147" s="39" t="n">
        <v>1</v>
      </c>
      <c r="B147" s="60" t="n">
        <v>8.4</v>
      </c>
      <c r="C147" s="60" t="s">
        <v>380</v>
      </c>
      <c r="D147" s="60" t="s">
        <v>7</v>
      </c>
      <c r="E147" s="61"/>
      <c r="F147" s="61"/>
      <c r="G147" s="61"/>
      <c r="H147" s="61" t="s">
        <v>381</v>
      </c>
      <c r="I147" s="42" t="str">
        <f aca="false">IF($D147="Yes", 1, "")</f>
        <v/>
      </c>
      <c r="J147" s="42" t="str">
        <f aca="false">IF($D147="No", 1, "")</f>
        <v/>
      </c>
      <c r="K147" s="42" t="n">
        <f aca="false">IF($D147="Not Applicable", 1, "")</f>
        <v>1</v>
      </c>
      <c r="L147" s="42" t="str">
        <f aca="false">IF($D147="Refer to comments", 1, "")</f>
        <v/>
      </c>
      <c r="M147" s="42" t="str">
        <f aca="false">IF($D147="Clarification required", 1, "")</f>
        <v/>
      </c>
      <c r="N147" s="5"/>
      <c r="O147" s="5"/>
      <c r="P147" s="5"/>
      <c r="Q147" s="5"/>
      <c r="R147" s="5"/>
      <c r="S147" s="5"/>
      <c r="T147" s="5"/>
      <c r="U147" s="5"/>
      <c r="V147" s="5"/>
      <c r="W147" s="5"/>
      <c r="X147" s="5"/>
      <c r="Y147" s="5"/>
      <c r="Z147" s="5"/>
    </row>
    <row r="148" customFormat="false" ht="13.5" hidden="false" customHeight="true" outlineLevel="0" collapsed="false">
      <c r="A148" s="39" t="n">
        <v>1</v>
      </c>
      <c r="B148" s="67" t="n">
        <v>8.5</v>
      </c>
      <c r="C148" s="68" t="s">
        <v>382</v>
      </c>
      <c r="D148" s="56" t="s">
        <v>8</v>
      </c>
      <c r="E148" s="57"/>
      <c r="F148" s="57"/>
      <c r="G148" s="57"/>
      <c r="H148" s="57" t="s">
        <v>383</v>
      </c>
      <c r="I148" s="42" t="str">
        <f aca="false">IF($D148="Yes", 1, "")</f>
        <v/>
      </c>
      <c r="J148" s="42" t="str">
        <f aca="false">IF($D148="No", 1, "")</f>
        <v/>
      </c>
      <c r="K148" s="42" t="str">
        <f aca="false">IF($D148="Not Applicable", 1, "")</f>
        <v/>
      </c>
      <c r="L148" s="42" t="n">
        <f aca="false">IF($D148="Refer to comments", 1, "")</f>
        <v>1</v>
      </c>
      <c r="M148" s="42" t="str">
        <f aca="false">IF($D148="Clarification required", 1, "")</f>
        <v/>
      </c>
      <c r="N148" s="5"/>
      <c r="O148" s="5"/>
      <c r="P148" s="5"/>
      <c r="Q148" s="5"/>
      <c r="R148" s="5"/>
      <c r="S148" s="5"/>
      <c r="T148" s="5"/>
      <c r="U148" s="5"/>
      <c r="V148" s="5"/>
      <c r="W148" s="5"/>
      <c r="X148" s="5"/>
      <c r="Y148" s="5"/>
      <c r="Z148" s="5"/>
    </row>
    <row r="149" customFormat="false" ht="13.5" hidden="false" customHeight="true" outlineLevel="0" collapsed="false">
      <c r="A149" s="39" t="n">
        <v>1</v>
      </c>
      <c r="B149" s="60" t="n">
        <v>8.6</v>
      </c>
      <c r="C149" s="60" t="s">
        <v>384</v>
      </c>
      <c r="D149" s="60" t="s">
        <v>6</v>
      </c>
      <c r="E149" s="61"/>
      <c r="F149" s="61"/>
      <c r="G149" s="61"/>
      <c r="H149" s="61" t="s">
        <v>385</v>
      </c>
      <c r="I149" s="42" t="str">
        <f aca="false">IF($D149="Yes", 1, "")</f>
        <v/>
      </c>
      <c r="J149" s="42" t="n">
        <f aca="false">IF($D149="No", 1, "")</f>
        <v>1</v>
      </c>
      <c r="K149" s="42" t="str">
        <f aca="false">IF($D149="Not Applicable", 1, "")</f>
        <v/>
      </c>
      <c r="L149" s="42" t="str">
        <f aca="false">IF($D149="Refer to comments", 1, "")</f>
        <v/>
      </c>
      <c r="M149" s="42" t="str">
        <f aca="false">IF($D149="Clarification required", 1, "")</f>
        <v/>
      </c>
      <c r="N149" s="5"/>
      <c r="O149" s="5"/>
      <c r="P149" s="5"/>
      <c r="Q149" s="5"/>
      <c r="R149" s="5"/>
      <c r="S149" s="5"/>
      <c r="T149" s="5"/>
      <c r="U149" s="5"/>
      <c r="V149" s="5"/>
      <c r="W149" s="5"/>
      <c r="X149" s="5"/>
      <c r="Y149" s="5"/>
      <c r="Z149" s="5"/>
    </row>
    <row r="150" customFormat="false" ht="13.5" hidden="false" customHeight="true" outlineLevel="0" collapsed="false">
      <c r="A150" s="39" t="n">
        <v>1</v>
      </c>
      <c r="B150" s="64" t="s">
        <v>386</v>
      </c>
      <c r="C150" s="54" t="s">
        <v>387</v>
      </c>
      <c r="D150" s="56" t="s">
        <v>5</v>
      </c>
      <c r="E150" s="57"/>
      <c r="F150" s="57"/>
      <c r="G150" s="57"/>
      <c r="H150" s="57" t="s">
        <v>388</v>
      </c>
      <c r="I150" s="42" t="n">
        <f aca="false">IF($D150="Yes", 1, "")</f>
        <v>1</v>
      </c>
      <c r="J150" s="42" t="str">
        <f aca="false">IF($D150="No", 1, "")</f>
        <v/>
      </c>
      <c r="K150" s="42" t="str">
        <f aca="false">IF($D150="Not Applicable", 1, "")</f>
        <v/>
      </c>
      <c r="L150" s="42" t="str">
        <f aca="false">IF($D150="Refer to comments", 1, "")</f>
        <v/>
      </c>
      <c r="M150" s="42" t="str">
        <f aca="false">IF($D150="Clarification required", 1, "")</f>
        <v/>
      </c>
      <c r="N150" s="5"/>
      <c r="O150" s="5"/>
      <c r="P150" s="5"/>
      <c r="Q150" s="5"/>
      <c r="R150" s="5"/>
      <c r="S150" s="5"/>
      <c r="T150" s="5"/>
      <c r="U150" s="5"/>
      <c r="V150" s="5"/>
      <c r="W150" s="5"/>
      <c r="X150" s="5"/>
      <c r="Y150" s="5"/>
      <c r="Z150" s="5"/>
    </row>
    <row r="151" customFormat="false" ht="13.5" hidden="false" customHeight="true" outlineLevel="0" collapsed="false">
      <c r="A151" s="39" t="n">
        <v>1</v>
      </c>
      <c r="B151" s="64" t="s">
        <v>389</v>
      </c>
      <c r="C151" s="56" t="s">
        <v>390</v>
      </c>
      <c r="D151" s="56" t="s">
        <v>6</v>
      </c>
      <c r="E151" s="57"/>
      <c r="F151" s="57"/>
      <c r="G151" s="57"/>
      <c r="H151" s="57" t="s">
        <v>391</v>
      </c>
      <c r="I151" s="42" t="str">
        <f aca="false">IF($D151="Yes", 1, "")</f>
        <v/>
      </c>
      <c r="J151" s="42" t="n">
        <f aca="false">IF($D151="No", 1, "")</f>
        <v>1</v>
      </c>
      <c r="K151" s="42" t="str">
        <f aca="false">IF($D151="Not Applicable", 1, "")</f>
        <v/>
      </c>
      <c r="L151" s="42" t="str">
        <f aca="false">IF($D151="Refer to comments", 1, "")</f>
        <v/>
      </c>
      <c r="M151" s="42" t="str">
        <f aca="false">IF($D151="Clarification required", 1, "")</f>
        <v/>
      </c>
      <c r="N151" s="5"/>
      <c r="O151" s="5"/>
      <c r="P151" s="5"/>
      <c r="Q151" s="5"/>
      <c r="R151" s="5"/>
      <c r="S151" s="5"/>
      <c r="T151" s="5"/>
      <c r="U151" s="5"/>
      <c r="V151" s="5"/>
      <c r="W151" s="5"/>
      <c r="X151" s="5"/>
      <c r="Y151" s="5"/>
      <c r="Z151" s="5"/>
    </row>
    <row r="152" customFormat="false" ht="13.5" hidden="false" customHeight="true" outlineLevel="0" collapsed="false">
      <c r="A152" s="39" t="n">
        <v>1</v>
      </c>
      <c r="B152" s="60" t="s">
        <v>392</v>
      </c>
      <c r="C152" s="60" t="s">
        <v>393</v>
      </c>
      <c r="D152" s="60" t="s">
        <v>6</v>
      </c>
      <c r="E152" s="61"/>
      <c r="F152" s="61"/>
      <c r="G152" s="61"/>
      <c r="H152" s="61" t="s">
        <v>394</v>
      </c>
      <c r="I152" s="42" t="str">
        <f aca="false">IF($D152="Yes", 1, "")</f>
        <v/>
      </c>
      <c r="J152" s="42" t="n">
        <f aca="false">IF($D152="No", 1, "")</f>
        <v>1</v>
      </c>
      <c r="K152" s="42" t="str">
        <f aca="false">IF($D152="Not Applicable", 1, "")</f>
        <v/>
      </c>
      <c r="L152" s="42" t="str">
        <f aca="false">IF($D152="Refer to comments", 1, "")</f>
        <v/>
      </c>
      <c r="M152" s="42" t="str">
        <f aca="false">IF($D152="Clarification required", 1, "")</f>
        <v/>
      </c>
      <c r="N152" s="5"/>
      <c r="O152" s="5"/>
      <c r="P152" s="5"/>
      <c r="Q152" s="5"/>
      <c r="R152" s="5"/>
      <c r="S152" s="5"/>
      <c r="T152" s="5"/>
      <c r="U152" s="5"/>
      <c r="V152" s="5"/>
      <c r="W152" s="5"/>
      <c r="X152" s="5"/>
      <c r="Y152" s="5"/>
      <c r="Z152" s="5"/>
    </row>
    <row r="153" customFormat="false" ht="13.5" hidden="false" customHeight="true" outlineLevel="0" collapsed="false">
      <c r="A153" s="39" t="n">
        <v>1</v>
      </c>
      <c r="B153" s="60" t="s">
        <v>395</v>
      </c>
      <c r="C153" s="60" t="s">
        <v>396</v>
      </c>
      <c r="D153" s="60" t="s">
        <v>6</v>
      </c>
      <c r="E153" s="61"/>
      <c r="F153" s="61"/>
      <c r="G153" s="61"/>
      <c r="H153" s="61" t="s">
        <v>397</v>
      </c>
      <c r="I153" s="42" t="str">
        <f aca="false">IF($D153="Yes", 1, "")</f>
        <v/>
      </c>
      <c r="J153" s="42" t="n">
        <f aca="false">IF($D153="No", 1, "")</f>
        <v>1</v>
      </c>
      <c r="K153" s="42" t="str">
        <f aca="false">IF($D153="Not Applicable", 1, "")</f>
        <v/>
      </c>
      <c r="L153" s="42" t="str">
        <f aca="false">IF($D153="Refer to comments", 1, "")</f>
        <v/>
      </c>
      <c r="M153" s="42" t="str">
        <f aca="false">IF($D153="Clarification required", 1, "")</f>
        <v/>
      </c>
      <c r="N153" s="5"/>
      <c r="O153" s="5"/>
      <c r="P153" s="5"/>
      <c r="Q153" s="5"/>
      <c r="R153" s="5"/>
      <c r="S153" s="5"/>
      <c r="T153" s="5"/>
      <c r="U153" s="5"/>
      <c r="V153" s="5"/>
      <c r="W153" s="5"/>
      <c r="X153" s="5"/>
      <c r="Y153" s="5"/>
      <c r="Z153" s="5"/>
    </row>
    <row r="154" customFormat="false" ht="13.5" hidden="false" customHeight="true" outlineLevel="0" collapsed="false">
      <c r="A154" s="39" t="n">
        <v>1</v>
      </c>
      <c r="B154" s="64" t="s">
        <v>398</v>
      </c>
      <c r="C154" s="56" t="s">
        <v>399</v>
      </c>
      <c r="D154" s="56" t="s">
        <v>6</v>
      </c>
      <c r="E154" s="57"/>
      <c r="F154" s="57"/>
      <c r="G154" s="57"/>
      <c r="H154" s="57" t="s">
        <v>400</v>
      </c>
      <c r="I154" s="42" t="str">
        <f aca="false">IF($D154="Yes", 1, "")</f>
        <v/>
      </c>
      <c r="J154" s="42" t="n">
        <f aca="false">IF($D154="No", 1, "")</f>
        <v>1</v>
      </c>
      <c r="K154" s="42" t="str">
        <f aca="false">IF($D154="Not Applicable", 1, "")</f>
        <v/>
      </c>
      <c r="L154" s="42" t="str">
        <f aca="false">IF($D154="Refer to comments", 1, "")</f>
        <v/>
      </c>
      <c r="M154" s="42" t="str">
        <f aca="false">IF($D154="Clarification required", 1, "")</f>
        <v/>
      </c>
      <c r="N154" s="5"/>
      <c r="O154" s="5"/>
      <c r="P154" s="5"/>
      <c r="Q154" s="5"/>
      <c r="R154" s="5"/>
      <c r="S154" s="5"/>
      <c r="T154" s="5"/>
      <c r="U154" s="5"/>
      <c r="V154" s="5"/>
      <c r="W154" s="5"/>
      <c r="X154" s="5"/>
      <c r="Y154" s="5"/>
      <c r="Z154" s="5"/>
    </row>
    <row r="155" customFormat="false" ht="13.5" hidden="false" customHeight="true" outlineLevel="0" collapsed="false">
      <c r="A155" s="39" t="n">
        <v>1</v>
      </c>
      <c r="B155" s="64" t="s">
        <v>401</v>
      </c>
      <c r="C155" s="56" t="s">
        <v>402</v>
      </c>
      <c r="D155" s="56" t="s">
        <v>6</v>
      </c>
      <c r="E155" s="57"/>
      <c r="F155" s="57"/>
      <c r="G155" s="57"/>
      <c r="H155" s="57" t="s">
        <v>403</v>
      </c>
      <c r="I155" s="42" t="str">
        <f aca="false">IF($D155="Yes", 1, "")</f>
        <v/>
      </c>
      <c r="J155" s="42" t="n">
        <f aca="false">IF($D155="No", 1, "")</f>
        <v>1</v>
      </c>
      <c r="K155" s="42" t="str">
        <f aca="false">IF($D155="Not Applicable", 1, "")</f>
        <v/>
      </c>
      <c r="L155" s="42" t="str">
        <f aca="false">IF($D155="Refer to comments", 1, "")</f>
        <v/>
      </c>
      <c r="M155" s="42" t="str">
        <f aca="false">IF($D155="Clarification required", 1, "")</f>
        <v/>
      </c>
      <c r="N155" s="5"/>
      <c r="O155" s="5"/>
      <c r="P155" s="5"/>
      <c r="Q155" s="5"/>
      <c r="R155" s="5"/>
      <c r="S155" s="5"/>
      <c r="T155" s="5"/>
      <c r="U155" s="5"/>
      <c r="V155" s="5"/>
      <c r="W155" s="5"/>
      <c r="X155" s="5"/>
      <c r="Y155" s="5"/>
      <c r="Z155" s="5"/>
    </row>
    <row r="156" customFormat="false" ht="13.5" hidden="false" customHeight="true" outlineLevel="0" collapsed="false">
      <c r="A156" s="39" t="n">
        <v>1</v>
      </c>
      <c r="B156" s="65" t="n">
        <v>8.1</v>
      </c>
      <c r="C156" s="60" t="s">
        <v>404</v>
      </c>
      <c r="D156" s="60" t="s">
        <v>6</v>
      </c>
      <c r="E156" s="61"/>
      <c r="F156" s="61"/>
      <c r="G156" s="61"/>
      <c r="H156" s="61" t="s">
        <v>405</v>
      </c>
      <c r="I156" s="42" t="str">
        <f aca="false">IF($D156="Yes", 1, "")</f>
        <v/>
      </c>
      <c r="J156" s="42" t="n">
        <f aca="false">IF($D156="No", 1, "")</f>
        <v>1</v>
      </c>
      <c r="K156" s="42" t="str">
        <f aca="false">IF($D156="Not Applicable", 1, "")</f>
        <v/>
      </c>
      <c r="L156" s="42" t="str">
        <f aca="false">IF($D156="Refer to comments", 1, "")</f>
        <v/>
      </c>
      <c r="M156" s="42" t="str">
        <f aca="false">IF($D156="Clarification required", 1, "")</f>
        <v/>
      </c>
      <c r="N156" s="5"/>
      <c r="O156" s="5"/>
      <c r="P156" s="5"/>
      <c r="Q156" s="5"/>
      <c r="R156" s="5"/>
      <c r="S156" s="5"/>
      <c r="T156" s="5"/>
      <c r="U156" s="5"/>
      <c r="V156" s="5"/>
      <c r="W156" s="5"/>
      <c r="X156" s="5"/>
      <c r="Y156" s="5"/>
      <c r="Z156" s="5"/>
    </row>
    <row r="157" customFormat="false" ht="13.5" hidden="false" customHeight="true" outlineLevel="0" collapsed="false">
      <c r="A157" s="39" t="n">
        <v>1</v>
      </c>
      <c r="B157" s="62" t="n">
        <v>8.11</v>
      </c>
      <c r="C157" s="56" t="s">
        <v>406</v>
      </c>
      <c r="D157" s="56" t="s">
        <v>7</v>
      </c>
      <c r="E157" s="57"/>
      <c r="F157" s="57"/>
      <c r="G157" s="57"/>
      <c r="H157" s="57" t="s">
        <v>407</v>
      </c>
      <c r="I157" s="42" t="str">
        <f aca="false">IF($D157="Yes", 1, "")</f>
        <v/>
      </c>
      <c r="J157" s="42" t="str">
        <f aca="false">IF($D157="No", 1, "")</f>
        <v/>
      </c>
      <c r="K157" s="42" t="n">
        <f aca="false">IF($D157="Not Applicable", 1, "")</f>
        <v>1</v>
      </c>
      <c r="L157" s="42" t="str">
        <f aca="false">IF($D157="Refer to comments", 1, "")</f>
        <v/>
      </c>
      <c r="M157" s="42" t="str">
        <f aca="false">IF($D157="Clarification required", 1, "")</f>
        <v/>
      </c>
      <c r="N157" s="5"/>
      <c r="O157" s="5"/>
      <c r="P157" s="5"/>
      <c r="Q157" s="5"/>
      <c r="R157" s="5"/>
      <c r="S157" s="5"/>
      <c r="T157" s="5"/>
      <c r="U157" s="5"/>
      <c r="V157" s="5"/>
      <c r="W157" s="5"/>
      <c r="X157" s="5"/>
      <c r="Y157" s="5"/>
      <c r="Z157" s="5"/>
    </row>
    <row r="158" customFormat="false" ht="13.5" hidden="false" customHeight="true" outlineLevel="0" collapsed="false">
      <c r="A158" s="39" t="n">
        <v>1</v>
      </c>
      <c r="B158" s="60" t="n">
        <v>8.12</v>
      </c>
      <c r="C158" s="60" t="s">
        <v>408</v>
      </c>
      <c r="D158" s="60" t="s">
        <v>6</v>
      </c>
      <c r="E158" s="61"/>
      <c r="F158" s="61"/>
      <c r="G158" s="61"/>
      <c r="H158" s="61" t="s">
        <v>409</v>
      </c>
      <c r="I158" s="42" t="str">
        <f aca="false">IF($D158="Yes", 1, "")</f>
        <v/>
      </c>
      <c r="J158" s="42" t="n">
        <f aca="false">IF($D158="No", 1, "")</f>
        <v>1</v>
      </c>
      <c r="K158" s="42" t="str">
        <f aca="false">IF($D158="Not Applicable", 1, "")</f>
        <v/>
      </c>
      <c r="L158" s="42" t="str">
        <f aca="false">IF($D158="Refer to comments", 1, "")</f>
        <v/>
      </c>
      <c r="M158" s="42" t="str">
        <f aca="false">IF($D158="Clarification required", 1, "")</f>
        <v/>
      </c>
      <c r="N158" s="5"/>
      <c r="O158" s="5"/>
      <c r="P158" s="5"/>
      <c r="Q158" s="5"/>
      <c r="R158" s="5"/>
      <c r="S158" s="5"/>
      <c r="T158" s="5"/>
      <c r="U158" s="5"/>
      <c r="V158" s="5"/>
      <c r="W158" s="5"/>
      <c r="X158" s="5"/>
      <c r="Y158" s="5"/>
      <c r="Z158" s="5"/>
    </row>
    <row r="159" customFormat="false" ht="13.5" hidden="false" customHeight="true" outlineLevel="0" collapsed="false">
      <c r="A159" s="39" t="n">
        <v>1</v>
      </c>
      <c r="B159" s="62" t="n">
        <v>8.13</v>
      </c>
      <c r="C159" s="56" t="s">
        <v>410</v>
      </c>
      <c r="D159" s="56" t="s">
        <v>5</v>
      </c>
      <c r="E159" s="57"/>
      <c r="F159" s="57"/>
      <c r="G159" s="57"/>
      <c r="H159" s="57" t="s">
        <v>411</v>
      </c>
      <c r="I159" s="42" t="n">
        <f aca="false">IF($D159="Yes", 1, "")</f>
        <v>1</v>
      </c>
      <c r="J159" s="42" t="str">
        <f aca="false">IF($D159="No", 1, "")</f>
        <v/>
      </c>
      <c r="K159" s="42" t="str">
        <f aca="false">IF($D159="Not Applicable", 1, "")</f>
        <v/>
      </c>
      <c r="L159" s="42" t="str">
        <f aca="false">IF($D159="Refer to comments", 1, "")</f>
        <v/>
      </c>
      <c r="M159" s="42" t="str">
        <f aca="false">IF($D159="Clarification required", 1, "")</f>
        <v/>
      </c>
      <c r="N159" s="5"/>
      <c r="O159" s="5"/>
      <c r="P159" s="5"/>
      <c r="Q159" s="5"/>
      <c r="R159" s="5"/>
      <c r="S159" s="5"/>
      <c r="T159" s="5"/>
      <c r="U159" s="5"/>
      <c r="V159" s="5"/>
      <c r="W159" s="5"/>
      <c r="X159" s="5"/>
      <c r="Y159" s="5"/>
      <c r="Z159" s="5"/>
    </row>
    <row r="160" customFormat="false" ht="13.5" hidden="false" customHeight="true" outlineLevel="0" collapsed="false">
      <c r="A160" s="39" t="n">
        <v>1</v>
      </c>
      <c r="B160" s="60" t="n">
        <v>8.14</v>
      </c>
      <c r="C160" s="60" t="s">
        <v>412</v>
      </c>
      <c r="D160" s="60" t="s">
        <v>8</v>
      </c>
      <c r="E160" s="61"/>
      <c r="F160" s="61"/>
      <c r="G160" s="61"/>
      <c r="H160" s="61" t="s">
        <v>413</v>
      </c>
      <c r="I160" s="42" t="str">
        <f aca="false">IF($D160="Yes", 1, "")</f>
        <v/>
      </c>
      <c r="J160" s="42" t="str">
        <f aca="false">IF($D160="No", 1, "")</f>
        <v/>
      </c>
      <c r="K160" s="42" t="str">
        <f aca="false">IF($D160="Not Applicable", 1, "")</f>
        <v/>
      </c>
      <c r="L160" s="42" t="n">
        <f aca="false">IF($D160="Refer to comments", 1, "")</f>
        <v>1</v>
      </c>
      <c r="M160" s="42" t="str">
        <f aca="false">IF($D160="Clarification required", 1, "")</f>
        <v/>
      </c>
      <c r="N160" s="5"/>
      <c r="O160" s="5"/>
      <c r="P160" s="5"/>
      <c r="Q160" s="5"/>
      <c r="R160" s="5"/>
      <c r="S160" s="5"/>
      <c r="T160" s="5"/>
      <c r="U160" s="5"/>
      <c r="V160" s="5"/>
      <c r="W160" s="5"/>
      <c r="X160" s="5"/>
      <c r="Y160" s="5"/>
      <c r="Z160" s="5"/>
    </row>
    <row r="161" customFormat="false" ht="13.5" hidden="false" customHeight="true" outlineLevel="0" collapsed="false">
      <c r="A161" s="39" t="n">
        <v>1</v>
      </c>
      <c r="B161" s="62" t="n">
        <v>8.15</v>
      </c>
      <c r="C161" s="56" t="s">
        <v>414</v>
      </c>
      <c r="D161" s="56" t="s">
        <v>6</v>
      </c>
      <c r="E161" s="57"/>
      <c r="F161" s="57"/>
      <c r="G161" s="57"/>
      <c r="H161" s="57" t="s">
        <v>415</v>
      </c>
      <c r="I161" s="42" t="str">
        <f aca="false">IF($D161="Yes", 1, "")</f>
        <v/>
      </c>
      <c r="J161" s="42" t="n">
        <f aca="false">IF($D161="No", 1, "")</f>
        <v>1</v>
      </c>
      <c r="K161" s="42" t="str">
        <f aca="false">IF($D161="Not Applicable", 1, "")</f>
        <v/>
      </c>
      <c r="L161" s="42" t="str">
        <f aca="false">IF($D161="Refer to comments", 1, "")</f>
        <v/>
      </c>
      <c r="M161" s="42" t="str">
        <f aca="false">IF($D161="Clarification required", 1, "")</f>
        <v/>
      </c>
      <c r="N161" s="5"/>
      <c r="O161" s="5"/>
      <c r="P161" s="5"/>
      <c r="Q161" s="5"/>
      <c r="R161" s="5"/>
      <c r="S161" s="5"/>
      <c r="T161" s="5"/>
      <c r="U161" s="5"/>
      <c r="V161" s="5"/>
      <c r="W161" s="5"/>
      <c r="X161" s="5"/>
      <c r="Y161" s="5"/>
      <c r="Z161" s="5"/>
    </row>
    <row r="162" customFormat="false" ht="13.5" hidden="false" customHeight="true" outlineLevel="0" collapsed="false">
      <c r="A162" s="39" t="n">
        <v>1</v>
      </c>
      <c r="B162" s="60" t="s">
        <v>416</v>
      </c>
      <c r="C162" s="60" t="s">
        <v>417</v>
      </c>
      <c r="D162" s="60" t="s">
        <v>6</v>
      </c>
      <c r="E162" s="61"/>
      <c r="F162" s="61"/>
      <c r="G162" s="61"/>
      <c r="H162" s="61" t="s">
        <v>418</v>
      </c>
      <c r="I162" s="42" t="str">
        <f aca="false">IF($D162="Yes", 1, "")</f>
        <v/>
      </c>
      <c r="J162" s="42" t="n">
        <f aca="false">IF($D162="No", 1, "")</f>
        <v>1</v>
      </c>
      <c r="K162" s="42" t="str">
        <f aca="false">IF($D162="Not Applicable", 1, "")</f>
        <v/>
      </c>
      <c r="L162" s="42" t="str">
        <f aca="false">IF($D162="Refer to comments", 1, "")</f>
        <v/>
      </c>
      <c r="M162" s="42" t="str">
        <f aca="false">IF($D162="Clarification required", 1, "")</f>
        <v/>
      </c>
      <c r="N162" s="5"/>
      <c r="O162" s="5"/>
      <c r="P162" s="5"/>
      <c r="Q162" s="5"/>
      <c r="R162" s="5"/>
      <c r="S162" s="5"/>
      <c r="T162" s="5"/>
      <c r="U162" s="5"/>
      <c r="V162" s="5"/>
      <c r="W162" s="5"/>
      <c r="X162" s="5"/>
      <c r="Y162" s="5"/>
      <c r="Z162" s="5"/>
    </row>
    <row r="163" customFormat="false" ht="13.5" hidden="false" customHeight="true" outlineLevel="0" collapsed="false">
      <c r="A163" s="39" t="n">
        <v>1</v>
      </c>
      <c r="B163" s="60" t="s">
        <v>419</v>
      </c>
      <c r="C163" s="60" t="s">
        <v>420</v>
      </c>
      <c r="D163" s="60" t="s">
        <v>6</v>
      </c>
      <c r="E163" s="61"/>
      <c r="F163" s="61"/>
      <c r="G163" s="61"/>
      <c r="H163" s="61" t="s">
        <v>421</v>
      </c>
      <c r="I163" s="42" t="str">
        <f aca="false">IF($D163="Yes", 1, "")</f>
        <v/>
      </c>
      <c r="J163" s="42" t="n">
        <f aca="false">IF($D163="No", 1, "")</f>
        <v>1</v>
      </c>
      <c r="K163" s="42" t="str">
        <f aca="false">IF($D163="Not Applicable", 1, "")</f>
        <v/>
      </c>
      <c r="L163" s="42" t="str">
        <f aca="false">IF($D163="Refer to comments", 1, "")</f>
        <v/>
      </c>
      <c r="M163" s="42" t="str">
        <f aca="false">IF($D163="Clarification required", 1, "")</f>
        <v/>
      </c>
      <c r="N163" s="5"/>
      <c r="O163" s="5"/>
      <c r="P163" s="5"/>
      <c r="Q163" s="5"/>
      <c r="R163" s="5"/>
      <c r="S163" s="5"/>
      <c r="T163" s="5"/>
      <c r="U163" s="5"/>
      <c r="V163" s="5"/>
      <c r="W163" s="5"/>
      <c r="X163" s="5"/>
      <c r="Y163" s="5"/>
      <c r="Z163" s="5"/>
    </row>
    <row r="164" customFormat="false" ht="13.5" hidden="false" customHeight="true" outlineLevel="0" collapsed="false">
      <c r="A164" s="39" t="n">
        <v>1</v>
      </c>
      <c r="B164" s="62" t="n">
        <v>8.17</v>
      </c>
      <c r="C164" s="56" t="s">
        <v>422</v>
      </c>
      <c r="D164" s="56" t="s">
        <v>8</v>
      </c>
      <c r="E164" s="57"/>
      <c r="F164" s="57"/>
      <c r="G164" s="57"/>
      <c r="H164" s="57" t="s">
        <v>423</v>
      </c>
      <c r="I164" s="42" t="str">
        <f aca="false">IF($D164="Yes", 1, "")</f>
        <v/>
      </c>
      <c r="J164" s="42" t="str">
        <f aca="false">IF($D164="No", 1, "")</f>
        <v/>
      </c>
      <c r="K164" s="42" t="str">
        <f aca="false">IF($D164="Not Applicable", 1, "")</f>
        <v/>
      </c>
      <c r="L164" s="42" t="n">
        <f aca="false">IF($D164="Refer to comments", 1, "")</f>
        <v>1</v>
      </c>
      <c r="M164" s="42" t="str">
        <f aca="false">IF($D164="Clarification required", 1, "")</f>
        <v/>
      </c>
      <c r="N164" s="5"/>
      <c r="O164" s="5"/>
      <c r="P164" s="5"/>
      <c r="Q164" s="5"/>
      <c r="R164" s="5"/>
      <c r="S164" s="5"/>
      <c r="T164" s="5"/>
      <c r="U164" s="5"/>
      <c r="V164" s="5"/>
      <c r="W164" s="5"/>
      <c r="X164" s="5"/>
      <c r="Y164" s="5"/>
      <c r="Z164" s="5"/>
    </row>
    <row r="165" customFormat="false" ht="13.5" hidden="false" customHeight="true" outlineLevel="0" collapsed="false">
      <c r="A165" s="39" t="n">
        <v>1</v>
      </c>
      <c r="B165" s="60" t="n">
        <v>8.18</v>
      </c>
      <c r="C165" s="60" t="s">
        <v>424</v>
      </c>
      <c r="D165" s="60" t="s">
        <v>6</v>
      </c>
      <c r="E165" s="61"/>
      <c r="F165" s="61"/>
      <c r="G165" s="61"/>
      <c r="H165" s="61" t="s">
        <v>425</v>
      </c>
      <c r="I165" s="42" t="str">
        <f aca="false">IF($D165="Yes", 1, "")</f>
        <v/>
      </c>
      <c r="J165" s="42" t="n">
        <f aca="false">IF($D165="No", 1, "")</f>
        <v>1</v>
      </c>
      <c r="K165" s="42" t="str">
        <f aca="false">IF($D165="Not Applicable", 1, "")</f>
        <v/>
      </c>
      <c r="L165" s="42" t="str">
        <f aca="false">IF($D165="Refer to comments", 1, "")</f>
        <v/>
      </c>
      <c r="M165" s="42" t="str">
        <f aca="false">IF($D165="Clarification required", 1, "")</f>
        <v/>
      </c>
      <c r="N165" s="5"/>
      <c r="O165" s="5"/>
      <c r="P165" s="5"/>
      <c r="Q165" s="5"/>
      <c r="R165" s="5"/>
      <c r="S165" s="5"/>
      <c r="T165" s="5"/>
      <c r="U165" s="5"/>
      <c r="V165" s="5"/>
      <c r="W165" s="5"/>
      <c r="X165" s="5"/>
      <c r="Y165" s="5"/>
      <c r="Z165" s="5"/>
    </row>
    <row r="166" customFormat="false" ht="13.5" hidden="false" customHeight="true" outlineLevel="0" collapsed="false">
      <c r="A166" s="39" t="n">
        <v>1</v>
      </c>
      <c r="B166" s="62" t="n">
        <v>8.19</v>
      </c>
      <c r="C166" s="56" t="s">
        <v>426</v>
      </c>
      <c r="D166" s="56" t="s">
        <v>6</v>
      </c>
      <c r="E166" s="57"/>
      <c r="F166" s="57"/>
      <c r="G166" s="57"/>
      <c r="H166" s="57" t="s">
        <v>427</v>
      </c>
      <c r="I166" s="42" t="str">
        <f aca="false">IF($D166="Yes", 1, "")</f>
        <v/>
      </c>
      <c r="J166" s="42" t="n">
        <f aca="false">IF($D166="No", 1, "")</f>
        <v>1</v>
      </c>
      <c r="K166" s="42" t="str">
        <f aca="false">IF($D166="Not Applicable", 1, "")</f>
        <v/>
      </c>
      <c r="L166" s="42" t="str">
        <f aca="false">IF($D166="Refer to comments", 1, "")</f>
        <v/>
      </c>
      <c r="M166" s="42" t="str">
        <f aca="false">IF($D166="Clarification required", 1, "")</f>
        <v/>
      </c>
      <c r="N166" s="5"/>
      <c r="O166" s="5"/>
      <c r="P166" s="5"/>
      <c r="Q166" s="5"/>
      <c r="R166" s="5"/>
      <c r="S166" s="5"/>
      <c r="T166" s="5"/>
      <c r="U166" s="5"/>
      <c r="V166" s="5"/>
      <c r="W166" s="5"/>
      <c r="X166" s="5"/>
      <c r="Y166" s="5"/>
      <c r="Z166" s="5"/>
    </row>
    <row r="167" customFormat="false" ht="13.5" hidden="false" customHeight="true" outlineLevel="0" collapsed="false">
      <c r="A167" s="39" t="n">
        <v>1</v>
      </c>
      <c r="B167" s="65" t="n">
        <v>8.2</v>
      </c>
      <c r="C167" s="60" t="s">
        <v>428</v>
      </c>
      <c r="D167" s="60" t="s">
        <v>8</v>
      </c>
      <c r="E167" s="61"/>
      <c r="F167" s="61"/>
      <c r="G167" s="61"/>
      <c r="H167" s="61" t="s">
        <v>429</v>
      </c>
      <c r="I167" s="42" t="str">
        <f aca="false">IF($D167="Yes", 1, "")</f>
        <v/>
      </c>
      <c r="J167" s="42" t="str">
        <f aca="false">IF($D167="No", 1, "")</f>
        <v/>
      </c>
      <c r="K167" s="42" t="str">
        <f aca="false">IF($D167="Not Applicable", 1, "")</f>
        <v/>
      </c>
      <c r="L167" s="42" t="n">
        <f aca="false">IF($D167="Refer to comments", 1, "")</f>
        <v>1</v>
      </c>
      <c r="M167" s="42" t="str">
        <f aca="false">IF($D167="Clarification required", 1, "")</f>
        <v/>
      </c>
      <c r="N167" s="5"/>
      <c r="O167" s="5"/>
      <c r="P167" s="5"/>
      <c r="Q167" s="5"/>
      <c r="R167" s="5"/>
      <c r="S167" s="5"/>
      <c r="T167" s="5"/>
      <c r="U167" s="5"/>
      <c r="V167" s="5"/>
      <c r="W167" s="5"/>
      <c r="X167" s="5"/>
      <c r="Y167" s="5"/>
      <c r="Z167" s="5"/>
    </row>
    <row r="168" customFormat="false" ht="13.5" hidden="false" customHeight="true" outlineLevel="0" collapsed="false">
      <c r="A168" s="39" t="n">
        <v>1</v>
      </c>
      <c r="B168" s="62" t="n">
        <v>8.21</v>
      </c>
      <c r="C168" s="56" t="s">
        <v>430</v>
      </c>
      <c r="D168" s="56" t="s">
        <v>6</v>
      </c>
      <c r="E168" s="57"/>
      <c r="F168" s="57"/>
      <c r="G168" s="57"/>
      <c r="H168" s="57" t="s">
        <v>431</v>
      </c>
      <c r="I168" s="42" t="str">
        <f aca="false">IF($D168="Yes", 1, "")</f>
        <v/>
      </c>
      <c r="J168" s="42" t="n">
        <f aca="false">IF($D168="No", 1, "")</f>
        <v>1</v>
      </c>
      <c r="K168" s="42" t="str">
        <f aca="false">IF($D168="Not Applicable", 1, "")</f>
        <v/>
      </c>
      <c r="L168" s="42" t="str">
        <f aca="false">IF($D168="Refer to comments", 1, "")</f>
        <v/>
      </c>
      <c r="M168" s="42" t="str">
        <f aca="false">IF($D168="Clarification required", 1, "")</f>
        <v/>
      </c>
      <c r="N168" s="5"/>
      <c r="O168" s="5"/>
      <c r="P168" s="5"/>
      <c r="Q168" s="5"/>
      <c r="R168" s="5"/>
      <c r="S168" s="5"/>
      <c r="T168" s="5"/>
      <c r="U168" s="5"/>
      <c r="V168" s="5"/>
      <c r="W168" s="5"/>
      <c r="X168" s="5"/>
      <c r="Y168" s="5"/>
      <c r="Z168" s="5"/>
    </row>
    <row r="169" customFormat="false" ht="13.5" hidden="false" customHeight="true" outlineLevel="0" collapsed="false">
      <c r="A169" s="39" t="n">
        <v>1</v>
      </c>
      <c r="B169" s="60" t="n">
        <v>8.22</v>
      </c>
      <c r="C169" s="60" t="s">
        <v>432</v>
      </c>
      <c r="D169" s="60" t="s">
        <v>6</v>
      </c>
      <c r="E169" s="61"/>
      <c r="F169" s="61"/>
      <c r="G169" s="61"/>
      <c r="H169" s="61" t="s">
        <v>433</v>
      </c>
      <c r="I169" s="42" t="str">
        <f aca="false">IF($D169="Yes", 1, "")</f>
        <v/>
      </c>
      <c r="J169" s="42" t="n">
        <f aca="false">IF($D169="No", 1, "")</f>
        <v>1</v>
      </c>
      <c r="K169" s="42" t="str">
        <f aca="false">IF($D169="Not Applicable", 1, "")</f>
        <v/>
      </c>
      <c r="L169" s="42" t="str">
        <f aca="false">IF($D169="Refer to comments", 1, "")</f>
        <v/>
      </c>
      <c r="M169" s="42" t="str">
        <f aca="false">IF($D169="Clarification required", 1, "")</f>
        <v/>
      </c>
      <c r="N169" s="5"/>
      <c r="O169" s="5"/>
      <c r="P169" s="5"/>
      <c r="Q169" s="5"/>
      <c r="R169" s="5"/>
      <c r="S169" s="5"/>
      <c r="T169" s="5"/>
      <c r="U169" s="5"/>
      <c r="V169" s="5"/>
      <c r="W169" s="5"/>
      <c r="X169" s="5"/>
      <c r="Y169" s="5"/>
      <c r="Z169" s="5"/>
    </row>
    <row r="170" customFormat="false" ht="13.5" hidden="false" customHeight="true" outlineLevel="0" collapsed="false">
      <c r="A170" s="39" t="n">
        <v>1</v>
      </c>
      <c r="B170" s="62" t="n">
        <v>8.23</v>
      </c>
      <c r="C170" s="56" t="s">
        <v>434</v>
      </c>
      <c r="D170" s="56" t="s">
        <v>8</v>
      </c>
      <c r="E170" s="57"/>
      <c r="F170" s="57"/>
      <c r="G170" s="57"/>
      <c r="H170" s="57" t="s">
        <v>435</v>
      </c>
      <c r="I170" s="42" t="str">
        <f aca="false">IF($D170="Yes", 1, "")</f>
        <v/>
      </c>
      <c r="J170" s="42" t="str">
        <f aca="false">IF($D170="No", 1, "")</f>
        <v/>
      </c>
      <c r="K170" s="42" t="str">
        <f aca="false">IF($D170="Not Applicable", 1, "")</f>
        <v/>
      </c>
      <c r="L170" s="42" t="n">
        <f aca="false">IF($D170="Refer to comments", 1, "")</f>
        <v>1</v>
      </c>
      <c r="M170" s="42" t="str">
        <f aca="false">IF($D170="Clarification required", 1, "")</f>
        <v/>
      </c>
      <c r="N170" s="5"/>
      <c r="O170" s="5"/>
      <c r="P170" s="5"/>
      <c r="Q170" s="5"/>
      <c r="R170" s="5"/>
      <c r="S170" s="5"/>
      <c r="T170" s="5"/>
      <c r="U170" s="5"/>
      <c r="V170" s="5"/>
      <c r="W170" s="5"/>
      <c r="X170" s="5"/>
      <c r="Y170" s="5"/>
      <c r="Z170" s="5"/>
    </row>
    <row r="171" customFormat="false" ht="13.5" hidden="false" customHeight="true" outlineLevel="0" collapsed="false">
      <c r="A171" s="39" t="n">
        <v>1</v>
      </c>
      <c r="B171" s="60" t="n">
        <v>8.24</v>
      </c>
      <c r="C171" s="60" t="s">
        <v>436</v>
      </c>
      <c r="D171" s="60" t="s">
        <v>6</v>
      </c>
      <c r="E171" s="61"/>
      <c r="F171" s="61"/>
      <c r="G171" s="61"/>
      <c r="H171" s="61" t="s">
        <v>437</v>
      </c>
      <c r="I171" s="42" t="str">
        <f aca="false">IF($D171="Yes", 1, "")</f>
        <v/>
      </c>
      <c r="J171" s="42" t="n">
        <f aca="false">IF($D171="No", 1, "")</f>
        <v>1</v>
      </c>
      <c r="K171" s="42" t="str">
        <f aca="false">IF($D171="Not Applicable", 1, "")</f>
        <v/>
      </c>
      <c r="L171" s="42" t="str">
        <f aca="false">IF($D171="Refer to comments", 1, "")</f>
        <v/>
      </c>
      <c r="M171" s="42" t="str">
        <f aca="false">IF($D171="Clarification required", 1, "")</f>
        <v/>
      </c>
      <c r="N171" s="5"/>
      <c r="O171" s="5"/>
      <c r="P171" s="5"/>
      <c r="Q171" s="5"/>
      <c r="R171" s="5"/>
      <c r="S171" s="5"/>
      <c r="T171" s="5"/>
      <c r="U171" s="5"/>
      <c r="V171" s="5"/>
      <c r="W171" s="5"/>
      <c r="X171" s="5"/>
      <c r="Y171" s="5"/>
      <c r="Z171" s="5"/>
    </row>
    <row r="172" customFormat="false" ht="13.5" hidden="false" customHeight="true" outlineLevel="0" collapsed="false">
      <c r="A172" s="39" t="n">
        <v>1</v>
      </c>
      <c r="B172" s="62" t="n">
        <v>8.25</v>
      </c>
      <c r="C172" s="56" t="s">
        <v>438</v>
      </c>
      <c r="D172" s="56" t="s">
        <v>7</v>
      </c>
      <c r="E172" s="57"/>
      <c r="F172" s="57"/>
      <c r="G172" s="57"/>
      <c r="H172" s="57" t="s">
        <v>439</v>
      </c>
      <c r="I172" s="42" t="str">
        <f aca="false">IF($D172="Yes", 1, "")</f>
        <v/>
      </c>
      <c r="J172" s="42" t="str">
        <f aca="false">IF($D172="No", 1, "")</f>
        <v/>
      </c>
      <c r="K172" s="42" t="n">
        <f aca="false">IF($D172="Not Applicable", 1, "")</f>
        <v>1</v>
      </c>
      <c r="L172" s="42" t="str">
        <f aca="false">IF($D172="Refer to comments", 1, "")</f>
        <v/>
      </c>
      <c r="M172" s="42" t="str">
        <f aca="false">IF($D172="Clarification required", 1, "")</f>
        <v/>
      </c>
      <c r="N172" s="5"/>
      <c r="O172" s="5"/>
      <c r="P172" s="5"/>
      <c r="Q172" s="5"/>
      <c r="R172" s="5"/>
      <c r="S172" s="5"/>
      <c r="T172" s="5"/>
      <c r="U172" s="5"/>
      <c r="V172" s="5"/>
      <c r="W172" s="5"/>
      <c r="X172" s="5"/>
      <c r="Y172" s="5"/>
      <c r="Z172" s="5"/>
    </row>
    <row r="173" customFormat="false" ht="13.5" hidden="false" customHeight="true" outlineLevel="0" collapsed="false">
      <c r="A173" s="39" t="n">
        <v>1</v>
      </c>
      <c r="B173" s="60" t="n">
        <v>8.26</v>
      </c>
      <c r="C173" s="60" t="s">
        <v>440</v>
      </c>
      <c r="D173" s="60" t="s">
        <v>7</v>
      </c>
      <c r="E173" s="61"/>
      <c r="F173" s="61"/>
      <c r="G173" s="61"/>
      <c r="H173" s="61" t="s">
        <v>441</v>
      </c>
      <c r="I173" s="42" t="str">
        <f aca="false">IF($D173="Yes", 1, "")</f>
        <v/>
      </c>
      <c r="J173" s="42" t="str">
        <f aca="false">IF($D173="No", 1, "")</f>
        <v/>
      </c>
      <c r="K173" s="42" t="n">
        <f aca="false">IF($D173="Not Applicable", 1, "")</f>
        <v>1</v>
      </c>
      <c r="L173" s="42" t="str">
        <f aca="false">IF($D173="Refer to comments", 1, "")</f>
        <v/>
      </c>
      <c r="M173" s="42" t="str">
        <f aca="false">IF($D173="Clarification required", 1, "")</f>
        <v/>
      </c>
      <c r="N173" s="42"/>
      <c r="O173" s="42"/>
      <c r="P173" s="42"/>
      <c r="Q173" s="42"/>
      <c r="R173" s="42"/>
      <c r="S173" s="42"/>
      <c r="T173" s="42"/>
      <c r="U173" s="42"/>
      <c r="V173" s="42"/>
      <c r="W173" s="42"/>
      <c r="X173" s="42"/>
      <c r="Y173" s="42"/>
      <c r="Z173" s="42"/>
    </row>
    <row r="174" customFormat="false" ht="13.5" hidden="false" customHeight="true" outlineLevel="0" collapsed="false">
      <c r="A174" s="39" t="n">
        <v>1</v>
      </c>
      <c r="B174" s="62" t="n">
        <v>8.27</v>
      </c>
      <c r="C174" s="56" t="s">
        <v>442</v>
      </c>
      <c r="D174" s="56" t="s">
        <v>7</v>
      </c>
      <c r="E174" s="57"/>
      <c r="F174" s="57"/>
      <c r="G174" s="57"/>
      <c r="H174" s="57" t="s">
        <v>443</v>
      </c>
      <c r="I174" s="42" t="str">
        <f aca="false">IF($D174="Yes", 1, "")</f>
        <v/>
      </c>
      <c r="J174" s="42" t="str">
        <f aca="false">IF($D174="No", 1, "")</f>
        <v/>
      </c>
      <c r="K174" s="42" t="n">
        <f aca="false">IF($D174="Not Applicable", 1, "")</f>
        <v>1</v>
      </c>
      <c r="L174" s="42" t="str">
        <f aca="false">IF($D174="Refer to comments", 1, "")</f>
        <v/>
      </c>
      <c r="M174" s="42" t="str">
        <f aca="false">IF($D174="Clarification required", 1, "")</f>
        <v/>
      </c>
      <c r="N174" s="42"/>
      <c r="O174" s="42"/>
      <c r="P174" s="42"/>
      <c r="Q174" s="42"/>
      <c r="R174" s="42"/>
      <c r="S174" s="42"/>
      <c r="T174" s="42"/>
      <c r="U174" s="42"/>
      <c r="V174" s="42"/>
      <c r="W174" s="42"/>
      <c r="X174" s="42"/>
      <c r="Y174" s="42"/>
      <c r="Z174" s="42"/>
    </row>
    <row r="175" customFormat="false" ht="13.5" hidden="false" customHeight="true" outlineLevel="0" collapsed="false">
      <c r="A175" s="39" t="n">
        <v>1</v>
      </c>
      <c r="B175" s="60" t="n">
        <v>8.28</v>
      </c>
      <c r="C175" s="60" t="s">
        <v>444</v>
      </c>
      <c r="D175" s="60" t="s">
        <v>7</v>
      </c>
      <c r="E175" s="61"/>
      <c r="F175" s="61"/>
      <c r="G175" s="61"/>
      <c r="H175" s="61" t="s">
        <v>445</v>
      </c>
      <c r="I175" s="42" t="str">
        <f aca="false">IF($D175="Yes", 1, "")</f>
        <v/>
      </c>
      <c r="J175" s="42" t="str">
        <f aca="false">IF($D175="No", 1, "")</f>
        <v/>
      </c>
      <c r="K175" s="42" t="n">
        <f aca="false">IF($D175="Not Applicable", 1, "")</f>
        <v>1</v>
      </c>
      <c r="L175" s="42" t="str">
        <f aca="false">IF($D175="Refer to comments", 1, "")</f>
        <v/>
      </c>
      <c r="M175" s="42" t="str">
        <f aca="false">IF($D175="Clarification required", 1, "")</f>
        <v/>
      </c>
      <c r="N175" s="42"/>
      <c r="O175" s="42"/>
      <c r="P175" s="42"/>
      <c r="Q175" s="42"/>
      <c r="R175" s="42"/>
      <c r="S175" s="42"/>
      <c r="T175" s="42"/>
      <c r="U175" s="42"/>
      <c r="V175" s="42"/>
      <c r="W175" s="42"/>
      <c r="X175" s="42"/>
      <c r="Y175" s="42"/>
      <c r="Z175" s="42"/>
    </row>
    <row r="176" customFormat="false" ht="13.5" hidden="false" customHeight="true" outlineLevel="0" collapsed="false">
      <c r="A176" s="39" t="n">
        <v>1</v>
      </c>
      <c r="B176" s="62" t="n">
        <v>8.29</v>
      </c>
      <c r="C176" s="56" t="s">
        <v>446</v>
      </c>
      <c r="D176" s="56" t="s">
        <v>7</v>
      </c>
      <c r="E176" s="57"/>
      <c r="F176" s="57"/>
      <c r="G176" s="57"/>
      <c r="H176" s="57" t="s">
        <v>447</v>
      </c>
      <c r="I176" s="42" t="str">
        <f aca="false">IF($D176="Yes", 1, "")</f>
        <v/>
      </c>
      <c r="J176" s="42" t="str">
        <f aca="false">IF($D176="No", 1, "")</f>
        <v/>
      </c>
      <c r="K176" s="42" t="n">
        <f aca="false">IF($D176="Not Applicable", 1, "")</f>
        <v>1</v>
      </c>
      <c r="L176" s="42" t="str">
        <f aca="false">IF($D176="Refer to comments", 1, "")</f>
        <v/>
      </c>
      <c r="M176" s="42" t="str">
        <f aca="false">IF($D176="Clarification required", 1, "")</f>
        <v/>
      </c>
      <c r="N176" s="42"/>
      <c r="O176" s="42"/>
      <c r="P176" s="42"/>
      <c r="Q176" s="42"/>
      <c r="R176" s="42"/>
      <c r="S176" s="42"/>
      <c r="T176" s="42"/>
      <c r="U176" s="42"/>
      <c r="V176" s="42"/>
      <c r="W176" s="42"/>
      <c r="X176" s="42"/>
      <c r="Y176" s="42"/>
      <c r="Z176" s="42"/>
    </row>
    <row r="177" customFormat="false" ht="13.5" hidden="false" customHeight="true" outlineLevel="0" collapsed="false">
      <c r="A177" s="39" t="n">
        <v>1</v>
      </c>
      <c r="B177" s="65" t="n">
        <v>8.3</v>
      </c>
      <c r="C177" s="60" t="s">
        <v>448</v>
      </c>
      <c r="D177" s="60" t="s">
        <v>8</v>
      </c>
      <c r="E177" s="61"/>
      <c r="F177" s="61"/>
      <c r="G177" s="61"/>
      <c r="H177" s="61" t="s">
        <v>449</v>
      </c>
      <c r="I177" s="42" t="str">
        <f aca="false">IF($D177="Yes", 1, "")</f>
        <v/>
      </c>
      <c r="J177" s="42" t="str">
        <f aca="false">IF($D177="No", 1, "")</f>
        <v/>
      </c>
      <c r="K177" s="42" t="str">
        <f aca="false">IF($D177="Not Applicable", 1, "")</f>
        <v/>
      </c>
      <c r="L177" s="42" t="n">
        <f aca="false">IF($D177="Refer to comments", 1, "")</f>
        <v>1</v>
      </c>
      <c r="M177" s="42" t="str">
        <f aca="false">IF($D177="Clarification required", 1, "")</f>
        <v/>
      </c>
      <c r="N177" s="42"/>
      <c r="O177" s="42"/>
      <c r="P177" s="42"/>
      <c r="Q177" s="42"/>
      <c r="R177" s="42"/>
      <c r="S177" s="42"/>
      <c r="T177" s="42"/>
      <c r="U177" s="42"/>
      <c r="V177" s="42"/>
      <c r="W177" s="42"/>
      <c r="X177" s="42"/>
      <c r="Y177" s="42"/>
      <c r="Z177" s="42"/>
    </row>
    <row r="178" customFormat="false" ht="13.5" hidden="false" customHeight="true" outlineLevel="0" collapsed="false">
      <c r="A178" s="39" t="n">
        <v>1</v>
      </c>
      <c r="B178" s="62" t="n">
        <v>8.31</v>
      </c>
      <c r="C178" s="56" t="s">
        <v>450</v>
      </c>
      <c r="D178" s="56" t="s">
        <v>7</v>
      </c>
      <c r="E178" s="57"/>
      <c r="F178" s="57"/>
      <c r="G178" s="57"/>
      <c r="H178" s="57" t="s">
        <v>451</v>
      </c>
      <c r="I178" s="42" t="str">
        <f aca="false">IF($D178="Yes", 1, "")</f>
        <v/>
      </c>
      <c r="J178" s="42" t="str">
        <f aca="false">IF($D178="No", 1, "")</f>
        <v/>
      </c>
      <c r="K178" s="42" t="n">
        <f aca="false">IF($D178="Not Applicable", 1, "")</f>
        <v>1</v>
      </c>
      <c r="L178" s="42" t="str">
        <f aca="false">IF($D178="Refer to comments", 1, "")</f>
        <v/>
      </c>
      <c r="M178" s="42" t="str">
        <f aca="false">IF($D178="Clarification required", 1, "")</f>
        <v/>
      </c>
      <c r="N178" s="42"/>
      <c r="O178" s="42"/>
      <c r="P178" s="42"/>
      <c r="Q178" s="42"/>
      <c r="R178" s="42"/>
      <c r="S178" s="42"/>
      <c r="T178" s="42"/>
      <c r="U178" s="42"/>
      <c r="V178" s="42"/>
      <c r="W178" s="42"/>
      <c r="X178" s="42"/>
      <c r="Y178" s="42"/>
      <c r="Z178" s="42"/>
    </row>
    <row r="179" customFormat="false" ht="13.5" hidden="false" customHeight="true" outlineLevel="0" collapsed="false">
      <c r="A179" s="39" t="n">
        <v>1</v>
      </c>
      <c r="B179" s="60" t="n">
        <v>8.32</v>
      </c>
      <c r="C179" s="60" t="s">
        <v>452</v>
      </c>
      <c r="D179" s="60" t="s">
        <v>8</v>
      </c>
      <c r="E179" s="61"/>
      <c r="F179" s="61"/>
      <c r="G179" s="61"/>
      <c r="H179" s="61" t="s">
        <v>453</v>
      </c>
      <c r="I179" s="42" t="str">
        <f aca="false">IF($D179="Yes", 1, "")</f>
        <v/>
      </c>
      <c r="J179" s="42" t="str">
        <f aca="false">IF($D179="No", 1, "")</f>
        <v/>
      </c>
      <c r="K179" s="42" t="str">
        <f aca="false">IF($D179="Not Applicable", 1, "")</f>
        <v/>
      </c>
      <c r="L179" s="42" t="n">
        <f aca="false">IF($D179="Refer to comments", 1, "")</f>
        <v>1</v>
      </c>
      <c r="M179" s="42" t="str">
        <f aca="false">IF($D179="Clarification required", 1, "")</f>
        <v/>
      </c>
      <c r="N179" s="42"/>
      <c r="O179" s="42"/>
      <c r="P179" s="42"/>
      <c r="Q179" s="42"/>
      <c r="R179" s="42"/>
      <c r="S179" s="42"/>
      <c r="T179" s="42"/>
      <c r="U179" s="42"/>
      <c r="V179" s="42"/>
      <c r="W179" s="42"/>
      <c r="X179" s="42"/>
      <c r="Y179" s="42"/>
      <c r="Z179" s="42"/>
    </row>
    <row r="180" customFormat="false" ht="13.5" hidden="false" customHeight="true" outlineLevel="0" collapsed="false">
      <c r="A180" s="39" t="n">
        <v>1</v>
      </c>
      <c r="B180" s="62" t="n">
        <v>8.33</v>
      </c>
      <c r="C180" s="56" t="s">
        <v>454</v>
      </c>
      <c r="D180" s="56" t="s">
        <v>7</v>
      </c>
      <c r="E180" s="57"/>
      <c r="F180" s="57"/>
      <c r="G180" s="57"/>
      <c r="H180" s="57" t="s">
        <v>455</v>
      </c>
      <c r="I180" s="42" t="str">
        <f aca="false">IF($D180="Yes", 1, "")</f>
        <v/>
      </c>
      <c r="J180" s="42" t="str">
        <f aca="false">IF($D180="No", 1, "")</f>
        <v/>
      </c>
      <c r="K180" s="42" t="n">
        <f aca="false">IF($D180="Not Applicable", 1, "")</f>
        <v>1</v>
      </c>
      <c r="L180" s="42" t="str">
        <f aca="false">IF($D180="Refer to comments", 1, "")</f>
        <v/>
      </c>
      <c r="M180" s="42" t="str">
        <f aca="false">IF($D180="Clarification required", 1, "")</f>
        <v/>
      </c>
      <c r="N180" s="42"/>
      <c r="O180" s="42"/>
      <c r="P180" s="42"/>
      <c r="Q180" s="42"/>
      <c r="R180" s="42"/>
      <c r="S180" s="42"/>
      <c r="T180" s="42"/>
      <c r="U180" s="42"/>
      <c r="V180" s="42"/>
      <c r="W180" s="42"/>
      <c r="X180" s="42"/>
      <c r="Y180" s="42"/>
      <c r="Z180" s="42"/>
    </row>
    <row r="181" customFormat="false" ht="13.5" hidden="false" customHeight="true" outlineLevel="0" collapsed="false">
      <c r="A181" s="39" t="n">
        <v>1</v>
      </c>
      <c r="B181" s="60" t="n">
        <v>8.34</v>
      </c>
      <c r="C181" s="60" t="s">
        <v>456</v>
      </c>
      <c r="D181" s="60" t="s">
        <v>6</v>
      </c>
      <c r="E181" s="61"/>
      <c r="F181" s="61"/>
      <c r="G181" s="61"/>
      <c r="H181" s="61" t="s">
        <v>457</v>
      </c>
      <c r="I181" s="42" t="str">
        <f aca="false">IF($D181="Yes", 1, "")</f>
        <v/>
      </c>
      <c r="J181" s="42" t="n">
        <f aca="false">IF($D181="No", 1, "")</f>
        <v>1</v>
      </c>
      <c r="K181" s="42" t="str">
        <f aca="false">IF($D181="Not Applicable", 1, "")</f>
        <v/>
      </c>
      <c r="L181" s="42" t="str">
        <f aca="false">IF($D181="Refer to comments", 1, "")</f>
        <v/>
      </c>
      <c r="M181" s="42" t="str">
        <f aca="false">IF($D181="Clarification required", 1, "")</f>
        <v/>
      </c>
      <c r="N181" s="42"/>
      <c r="O181" s="42"/>
      <c r="P181" s="42"/>
      <c r="Q181" s="42"/>
      <c r="R181" s="42"/>
      <c r="S181" s="42"/>
      <c r="T181" s="42"/>
      <c r="U181" s="42"/>
      <c r="V181" s="42"/>
      <c r="W181" s="42"/>
      <c r="X181" s="42"/>
      <c r="Y181" s="42"/>
      <c r="Z181" s="42"/>
    </row>
    <row r="182" customFormat="false" ht="13.5" hidden="false" customHeight="true" outlineLevel="0" collapsed="false">
      <c r="A182" s="69"/>
      <c r="B182" s="7"/>
      <c r="C182" s="5"/>
      <c r="D182" s="7"/>
      <c r="E182" s="7"/>
      <c r="F182" s="7"/>
      <c r="G182" s="7"/>
      <c r="H182" s="5"/>
      <c r="I182" s="42"/>
      <c r="J182" s="42"/>
      <c r="K182" s="42"/>
      <c r="L182" s="42"/>
      <c r="M182" s="42"/>
      <c r="N182" s="42"/>
      <c r="O182" s="42"/>
      <c r="P182" s="42"/>
      <c r="Q182" s="42"/>
      <c r="R182" s="42"/>
      <c r="S182" s="42"/>
      <c r="T182" s="42"/>
      <c r="U182" s="42"/>
      <c r="V182" s="42"/>
      <c r="W182" s="42"/>
      <c r="X182" s="42"/>
      <c r="Y182" s="42"/>
      <c r="Z182" s="42"/>
    </row>
    <row r="183" customFormat="false" ht="13.5" hidden="false" customHeight="true" outlineLevel="0" collapsed="false">
      <c r="A183" s="69"/>
      <c r="B183" s="7"/>
      <c r="C183" s="5"/>
      <c r="D183" s="7"/>
      <c r="E183" s="7"/>
      <c r="F183" s="7"/>
      <c r="G183" s="7"/>
      <c r="H183" s="5"/>
      <c r="I183" s="42"/>
      <c r="J183" s="42"/>
      <c r="K183" s="42"/>
      <c r="L183" s="42"/>
      <c r="M183" s="42"/>
      <c r="N183" s="42"/>
      <c r="O183" s="42"/>
      <c r="P183" s="42"/>
      <c r="Q183" s="42"/>
      <c r="R183" s="42"/>
      <c r="S183" s="42"/>
      <c r="T183" s="42"/>
      <c r="U183" s="42"/>
      <c r="V183" s="42"/>
      <c r="W183" s="42"/>
      <c r="X183" s="42"/>
      <c r="Y183" s="42"/>
      <c r="Z183" s="42"/>
    </row>
    <row r="184" customFormat="false" ht="13.5" hidden="false" customHeight="true" outlineLevel="0" collapsed="false">
      <c r="A184" s="69"/>
      <c r="B184" s="7"/>
      <c r="C184" s="5"/>
      <c r="D184" s="7"/>
      <c r="E184" s="7"/>
      <c r="F184" s="7"/>
      <c r="G184" s="7"/>
      <c r="H184" s="5"/>
      <c r="I184" s="42"/>
      <c r="J184" s="42"/>
      <c r="K184" s="42"/>
      <c r="L184" s="42"/>
      <c r="M184" s="42"/>
      <c r="N184" s="42"/>
      <c r="O184" s="42"/>
      <c r="P184" s="42"/>
      <c r="Q184" s="42"/>
      <c r="R184" s="42"/>
      <c r="S184" s="42"/>
      <c r="T184" s="42"/>
      <c r="U184" s="42"/>
      <c r="V184" s="42"/>
      <c r="W184" s="42"/>
      <c r="X184" s="42"/>
      <c r="Y184" s="42"/>
      <c r="Z184" s="42"/>
    </row>
    <row r="185" customFormat="false" ht="13.5" hidden="false" customHeight="true" outlineLevel="0" collapsed="false">
      <c r="A185" s="69"/>
      <c r="B185" s="7"/>
      <c r="C185" s="5"/>
      <c r="D185" s="7"/>
      <c r="E185" s="7"/>
      <c r="F185" s="7"/>
      <c r="G185" s="7"/>
      <c r="H185" s="5"/>
      <c r="I185" s="42"/>
      <c r="J185" s="42"/>
      <c r="K185" s="42"/>
      <c r="L185" s="42"/>
      <c r="M185" s="42"/>
      <c r="N185" s="42"/>
      <c r="O185" s="42"/>
      <c r="P185" s="42"/>
      <c r="Q185" s="42"/>
      <c r="R185" s="42"/>
      <c r="S185" s="42"/>
      <c r="T185" s="42"/>
      <c r="U185" s="42"/>
      <c r="V185" s="42"/>
      <c r="W185" s="42"/>
      <c r="X185" s="42"/>
      <c r="Y185" s="42"/>
      <c r="Z185" s="42"/>
    </row>
    <row r="186" customFormat="false" ht="13.5" hidden="false" customHeight="true" outlineLevel="0" collapsed="false">
      <c r="A186" s="69"/>
      <c r="B186" s="7"/>
      <c r="C186" s="5"/>
      <c r="D186" s="7"/>
      <c r="E186" s="7"/>
      <c r="F186" s="7"/>
      <c r="G186" s="7"/>
      <c r="H186" s="5"/>
      <c r="I186" s="42"/>
      <c r="J186" s="42"/>
      <c r="K186" s="42"/>
      <c r="L186" s="42"/>
      <c r="M186" s="42"/>
      <c r="N186" s="42"/>
      <c r="O186" s="42"/>
      <c r="P186" s="42"/>
      <c r="Q186" s="42"/>
      <c r="R186" s="42"/>
      <c r="S186" s="42"/>
      <c r="T186" s="42"/>
      <c r="U186" s="42"/>
      <c r="V186" s="42"/>
      <c r="W186" s="42"/>
      <c r="X186" s="42"/>
      <c r="Y186" s="42"/>
      <c r="Z186" s="42"/>
    </row>
    <row r="187" customFormat="false" ht="13.5" hidden="false" customHeight="true" outlineLevel="0" collapsed="false">
      <c r="A187" s="39"/>
      <c r="B187" s="5"/>
      <c r="C187" s="5"/>
      <c r="D187" s="7"/>
      <c r="E187" s="7"/>
      <c r="F187" s="7"/>
      <c r="G187" s="7"/>
      <c r="H187" s="5"/>
      <c r="I187" s="42"/>
      <c r="J187" s="42"/>
      <c r="K187" s="5"/>
      <c r="L187" s="5"/>
      <c r="M187" s="5"/>
      <c r="N187" s="5"/>
      <c r="O187" s="5"/>
      <c r="P187" s="5"/>
      <c r="Q187" s="5"/>
      <c r="R187" s="5"/>
      <c r="S187" s="5"/>
      <c r="T187" s="5"/>
      <c r="U187" s="5"/>
      <c r="V187" s="5"/>
      <c r="W187" s="5"/>
      <c r="X187" s="5"/>
      <c r="Y187" s="5"/>
      <c r="Z187" s="5"/>
    </row>
    <row r="188" customFormat="false" ht="13.5" hidden="false" customHeight="true" outlineLevel="0" collapsed="false">
      <c r="A188" s="39"/>
      <c r="B188" s="5"/>
      <c r="C188" s="5"/>
      <c r="D188" s="7"/>
      <c r="E188" s="7"/>
      <c r="F188" s="7"/>
      <c r="G188" s="7"/>
      <c r="H188" s="5"/>
      <c r="I188" s="42"/>
      <c r="J188" s="42"/>
      <c r="K188" s="5"/>
      <c r="L188" s="5"/>
      <c r="M188" s="5"/>
      <c r="N188" s="5"/>
      <c r="O188" s="5"/>
      <c r="P188" s="5"/>
      <c r="Q188" s="5"/>
      <c r="R188" s="5"/>
      <c r="S188" s="5"/>
      <c r="T188" s="5"/>
      <c r="U188" s="5"/>
      <c r="V188" s="5"/>
      <c r="W188" s="5"/>
      <c r="X188" s="5"/>
      <c r="Y188" s="5"/>
      <c r="Z188" s="5"/>
    </row>
    <row r="189" customFormat="false" ht="13.5" hidden="false" customHeight="true" outlineLevel="0" collapsed="false">
      <c r="A189" s="39"/>
      <c r="B189" s="5"/>
      <c r="C189" s="5"/>
      <c r="D189" s="7"/>
      <c r="E189" s="7"/>
      <c r="F189" s="7"/>
      <c r="G189" s="7"/>
      <c r="H189" s="5"/>
      <c r="I189" s="42"/>
      <c r="J189" s="42"/>
      <c r="K189" s="5"/>
      <c r="L189" s="5"/>
      <c r="M189" s="5"/>
      <c r="N189" s="5"/>
      <c r="O189" s="5"/>
      <c r="P189" s="5"/>
      <c r="Q189" s="5"/>
      <c r="R189" s="5"/>
      <c r="S189" s="5"/>
      <c r="T189" s="5"/>
      <c r="U189" s="5"/>
      <c r="V189" s="5"/>
      <c r="W189" s="5"/>
      <c r="X189" s="5"/>
      <c r="Y189" s="5"/>
      <c r="Z189" s="5"/>
    </row>
    <row r="190" customFormat="false" ht="13.5" hidden="false" customHeight="true" outlineLevel="0" collapsed="false">
      <c r="A190" s="39"/>
      <c r="B190" s="5"/>
      <c r="C190" s="5"/>
      <c r="D190" s="7"/>
      <c r="E190" s="7"/>
      <c r="F190" s="7"/>
      <c r="G190" s="7"/>
      <c r="H190" s="5"/>
      <c r="I190" s="42"/>
      <c r="J190" s="42"/>
      <c r="K190" s="5"/>
      <c r="L190" s="5"/>
      <c r="M190" s="5"/>
      <c r="N190" s="5"/>
      <c r="O190" s="5"/>
      <c r="P190" s="5"/>
      <c r="Q190" s="5"/>
      <c r="R190" s="5"/>
      <c r="S190" s="5"/>
      <c r="T190" s="5"/>
      <c r="U190" s="5"/>
      <c r="V190" s="5"/>
      <c r="W190" s="5"/>
      <c r="X190" s="5"/>
      <c r="Y190" s="5"/>
      <c r="Z190" s="5"/>
    </row>
    <row r="191" customFormat="false" ht="13.5" hidden="false" customHeight="true" outlineLevel="0" collapsed="false">
      <c r="A191" s="39"/>
      <c r="B191" s="5"/>
      <c r="C191" s="5"/>
      <c r="D191" s="7"/>
      <c r="E191" s="7"/>
      <c r="F191" s="7"/>
      <c r="G191" s="7"/>
      <c r="H191" s="5"/>
      <c r="I191" s="42"/>
      <c r="J191" s="42"/>
      <c r="K191" s="5"/>
      <c r="L191" s="5"/>
      <c r="M191" s="5"/>
      <c r="N191" s="5"/>
      <c r="O191" s="5"/>
      <c r="P191" s="5"/>
      <c r="Q191" s="5"/>
      <c r="R191" s="5"/>
      <c r="S191" s="5"/>
      <c r="T191" s="5"/>
      <c r="U191" s="5"/>
      <c r="V191" s="5"/>
      <c r="W191" s="5"/>
      <c r="X191" s="5"/>
      <c r="Y191" s="5"/>
      <c r="Z191" s="5"/>
    </row>
    <row r="192" customFormat="false" ht="13.5" hidden="false" customHeight="true" outlineLevel="0" collapsed="false">
      <c r="A192" s="39"/>
      <c r="B192" s="5"/>
      <c r="C192" s="5"/>
      <c r="D192" s="7"/>
      <c r="E192" s="7"/>
      <c r="F192" s="7"/>
      <c r="G192" s="7"/>
      <c r="H192" s="5"/>
      <c r="I192" s="42"/>
      <c r="J192" s="42"/>
      <c r="K192" s="5"/>
      <c r="L192" s="5"/>
      <c r="M192" s="5"/>
      <c r="N192" s="5"/>
      <c r="O192" s="5"/>
      <c r="P192" s="5"/>
      <c r="Q192" s="5"/>
      <c r="R192" s="5"/>
      <c r="S192" s="5"/>
      <c r="T192" s="5"/>
      <c r="U192" s="5"/>
      <c r="V192" s="5"/>
      <c r="W192" s="5"/>
      <c r="X192" s="5"/>
      <c r="Y192" s="5"/>
      <c r="Z192" s="5"/>
    </row>
    <row r="193" customFormat="false" ht="13.5" hidden="false" customHeight="true" outlineLevel="0" collapsed="false">
      <c r="A193" s="39"/>
      <c r="B193" s="5"/>
      <c r="C193" s="5"/>
      <c r="D193" s="7"/>
      <c r="E193" s="7"/>
      <c r="F193" s="7"/>
      <c r="G193" s="7"/>
      <c r="H193" s="5"/>
      <c r="I193" s="42"/>
      <c r="J193" s="42"/>
      <c r="K193" s="5"/>
      <c r="L193" s="5"/>
      <c r="M193" s="5"/>
      <c r="N193" s="5"/>
      <c r="O193" s="5"/>
      <c r="P193" s="5"/>
      <c r="Q193" s="5"/>
      <c r="R193" s="5"/>
      <c r="S193" s="5"/>
      <c r="T193" s="5"/>
      <c r="U193" s="5"/>
      <c r="V193" s="5"/>
      <c r="W193" s="5"/>
      <c r="X193" s="5"/>
      <c r="Y193" s="5"/>
      <c r="Z193" s="5"/>
    </row>
    <row r="194" customFormat="false" ht="13.5" hidden="false" customHeight="true" outlineLevel="0" collapsed="false">
      <c r="A194" s="39"/>
      <c r="B194" s="5"/>
      <c r="C194" s="5"/>
      <c r="D194" s="7"/>
      <c r="E194" s="7"/>
      <c r="F194" s="7"/>
      <c r="G194" s="7"/>
      <c r="H194" s="5"/>
      <c r="I194" s="42"/>
      <c r="J194" s="42"/>
      <c r="K194" s="5"/>
      <c r="L194" s="5"/>
      <c r="M194" s="5"/>
      <c r="N194" s="5"/>
      <c r="O194" s="5"/>
      <c r="P194" s="5"/>
      <c r="Q194" s="5"/>
      <c r="R194" s="5"/>
      <c r="S194" s="5"/>
      <c r="T194" s="5"/>
      <c r="U194" s="5"/>
      <c r="V194" s="5"/>
      <c r="W194" s="5"/>
      <c r="X194" s="5"/>
      <c r="Y194" s="5"/>
      <c r="Z194" s="5"/>
    </row>
    <row r="195" customFormat="false" ht="13.5" hidden="false" customHeight="true" outlineLevel="0" collapsed="false">
      <c r="A195" s="39"/>
      <c r="B195" s="5"/>
      <c r="C195" s="5"/>
      <c r="D195" s="7"/>
      <c r="E195" s="7"/>
      <c r="F195" s="7"/>
      <c r="G195" s="7"/>
      <c r="H195" s="5"/>
      <c r="I195" s="42"/>
      <c r="J195" s="42"/>
      <c r="K195" s="5"/>
      <c r="L195" s="5"/>
      <c r="M195" s="5"/>
      <c r="N195" s="5"/>
      <c r="O195" s="5"/>
      <c r="P195" s="5"/>
      <c r="Q195" s="5"/>
      <c r="R195" s="5"/>
      <c r="S195" s="5"/>
      <c r="T195" s="5"/>
      <c r="U195" s="5"/>
      <c r="V195" s="5"/>
      <c r="W195" s="5"/>
      <c r="X195" s="5"/>
      <c r="Y195" s="5"/>
      <c r="Z195" s="5"/>
    </row>
    <row r="196" customFormat="false" ht="13.5" hidden="false" customHeight="true" outlineLevel="0" collapsed="false">
      <c r="A196" s="39"/>
      <c r="B196" s="5"/>
      <c r="C196" s="5"/>
      <c r="D196" s="7"/>
      <c r="E196" s="7"/>
      <c r="F196" s="7"/>
      <c r="G196" s="7"/>
      <c r="H196" s="5"/>
      <c r="I196" s="42"/>
      <c r="J196" s="42"/>
      <c r="K196" s="5"/>
      <c r="L196" s="5"/>
      <c r="M196" s="5"/>
      <c r="N196" s="5"/>
      <c r="O196" s="5"/>
      <c r="P196" s="5"/>
      <c r="Q196" s="5"/>
      <c r="R196" s="5"/>
      <c r="S196" s="5"/>
      <c r="T196" s="5"/>
      <c r="U196" s="5"/>
      <c r="V196" s="5"/>
      <c r="W196" s="5"/>
      <c r="X196" s="5"/>
      <c r="Y196" s="5"/>
      <c r="Z196" s="5"/>
    </row>
    <row r="197" customFormat="false" ht="13.5" hidden="false" customHeight="true" outlineLevel="0" collapsed="false">
      <c r="A197" s="39"/>
      <c r="B197" s="5"/>
      <c r="C197" s="5"/>
      <c r="D197" s="7"/>
      <c r="E197" s="7"/>
      <c r="F197" s="7"/>
      <c r="G197" s="7"/>
      <c r="H197" s="5"/>
      <c r="I197" s="42"/>
      <c r="J197" s="42"/>
      <c r="K197" s="5"/>
      <c r="L197" s="5"/>
      <c r="M197" s="5"/>
      <c r="N197" s="5"/>
      <c r="O197" s="5"/>
      <c r="P197" s="5"/>
      <c r="Q197" s="5"/>
      <c r="R197" s="5"/>
      <c r="S197" s="5"/>
      <c r="T197" s="5"/>
      <c r="U197" s="5"/>
      <c r="V197" s="5"/>
      <c r="W197" s="5"/>
      <c r="X197" s="5"/>
      <c r="Y197" s="5"/>
      <c r="Z197" s="5"/>
    </row>
    <row r="198" customFormat="false" ht="13.5" hidden="false" customHeight="true" outlineLevel="0" collapsed="false">
      <c r="A198" s="39"/>
      <c r="B198" s="5"/>
      <c r="C198" s="5"/>
      <c r="D198" s="7"/>
      <c r="E198" s="7"/>
      <c r="F198" s="7"/>
      <c r="G198" s="7"/>
      <c r="H198" s="5"/>
      <c r="I198" s="42"/>
      <c r="J198" s="42"/>
      <c r="K198" s="5"/>
      <c r="L198" s="5"/>
      <c r="M198" s="5"/>
      <c r="N198" s="5"/>
      <c r="O198" s="5"/>
      <c r="P198" s="5"/>
      <c r="Q198" s="5"/>
      <c r="R198" s="5"/>
      <c r="S198" s="5"/>
      <c r="T198" s="5"/>
      <c r="U198" s="5"/>
      <c r="V198" s="5"/>
      <c r="W198" s="5"/>
      <c r="X198" s="5"/>
      <c r="Y198" s="5"/>
      <c r="Z198" s="5"/>
    </row>
    <row r="199" customFormat="false" ht="13.5" hidden="false" customHeight="true" outlineLevel="0" collapsed="false">
      <c r="A199" s="39"/>
      <c r="B199" s="5"/>
      <c r="C199" s="5"/>
      <c r="D199" s="7"/>
      <c r="E199" s="7"/>
      <c r="F199" s="7"/>
      <c r="G199" s="7"/>
      <c r="H199" s="5"/>
      <c r="I199" s="42"/>
      <c r="J199" s="42"/>
      <c r="K199" s="5"/>
      <c r="L199" s="5"/>
      <c r="M199" s="5"/>
      <c r="N199" s="5"/>
      <c r="O199" s="5"/>
      <c r="P199" s="5"/>
      <c r="Q199" s="5"/>
      <c r="R199" s="5"/>
      <c r="S199" s="5"/>
      <c r="T199" s="5"/>
      <c r="U199" s="5"/>
      <c r="V199" s="5"/>
      <c r="W199" s="5"/>
      <c r="X199" s="5"/>
      <c r="Y199" s="5"/>
      <c r="Z199" s="5"/>
    </row>
    <row r="200" customFormat="false" ht="13.5" hidden="false" customHeight="true" outlineLevel="0" collapsed="false">
      <c r="A200" s="39"/>
      <c r="B200" s="5"/>
      <c r="C200" s="5"/>
      <c r="D200" s="7"/>
      <c r="E200" s="7"/>
      <c r="F200" s="7"/>
      <c r="G200" s="7"/>
      <c r="H200" s="5"/>
      <c r="I200" s="42"/>
      <c r="J200" s="42"/>
      <c r="K200" s="5"/>
      <c r="L200" s="5"/>
      <c r="M200" s="5"/>
      <c r="N200" s="5"/>
      <c r="O200" s="5"/>
      <c r="P200" s="5"/>
      <c r="Q200" s="5"/>
      <c r="R200" s="5"/>
      <c r="S200" s="5"/>
      <c r="T200" s="5"/>
      <c r="U200" s="5"/>
      <c r="V200" s="5"/>
      <c r="W200" s="5"/>
      <c r="X200" s="5"/>
      <c r="Y200" s="5"/>
      <c r="Z200" s="5"/>
    </row>
    <row r="201" customFormat="false" ht="13.5" hidden="false" customHeight="true" outlineLevel="0" collapsed="false">
      <c r="A201" s="39"/>
      <c r="B201" s="5"/>
      <c r="C201" s="5"/>
      <c r="D201" s="7"/>
      <c r="E201" s="7"/>
      <c r="F201" s="7"/>
      <c r="G201" s="7"/>
      <c r="H201" s="5"/>
      <c r="I201" s="42"/>
      <c r="J201" s="42"/>
      <c r="K201" s="5"/>
      <c r="L201" s="5"/>
      <c r="M201" s="5"/>
      <c r="N201" s="5"/>
      <c r="O201" s="5"/>
      <c r="P201" s="5"/>
      <c r="Q201" s="5"/>
      <c r="R201" s="5"/>
      <c r="S201" s="5"/>
      <c r="T201" s="5"/>
      <c r="U201" s="5"/>
      <c r="V201" s="5"/>
      <c r="W201" s="5"/>
      <c r="X201" s="5"/>
      <c r="Y201" s="5"/>
      <c r="Z201" s="5"/>
    </row>
    <row r="202" customFormat="false" ht="13.5" hidden="false" customHeight="true" outlineLevel="0" collapsed="false">
      <c r="A202" s="39"/>
      <c r="B202" s="5"/>
      <c r="C202" s="5"/>
      <c r="D202" s="7"/>
      <c r="E202" s="7"/>
      <c r="F202" s="7"/>
      <c r="G202" s="7"/>
      <c r="H202" s="5"/>
      <c r="I202" s="42"/>
      <c r="J202" s="42"/>
      <c r="K202" s="5"/>
      <c r="L202" s="5"/>
      <c r="M202" s="5"/>
      <c r="N202" s="5"/>
      <c r="O202" s="5"/>
      <c r="P202" s="5"/>
      <c r="Q202" s="5"/>
      <c r="R202" s="5"/>
      <c r="S202" s="5"/>
      <c r="T202" s="5"/>
      <c r="U202" s="5"/>
      <c r="V202" s="5"/>
      <c r="W202" s="5"/>
      <c r="X202" s="5"/>
      <c r="Y202" s="5"/>
      <c r="Z202" s="5"/>
    </row>
    <row r="203" customFormat="false" ht="13.5" hidden="false" customHeight="true" outlineLevel="0" collapsed="false">
      <c r="A203" s="39"/>
      <c r="B203" s="5"/>
      <c r="C203" s="5"/>
      <c r="D203" s="7"/>
      <c r="E203" s="7"/>
      <c r="F203" s="7"/>
      <c r="G203" s="7"/>
      <c r="H203" s="5"/>
      <c r="I203" s="42"/>
      <c r="J203" s="42"/>
      <c r="K203" s="5"/>
      <c r="L203" s="5"/>
      <c r="M203" s="5"/>
      <c r="N203" s="5"/>
      <c r="O203" s="5"/>
      <c r="P203" s="5"/>
      <c r="Q203" s="5"/>
      <c r="R203" s="5"/>
      <c r="S203" s="5"/>
      <c r="T203" s="5"/>
      <c r="U203" s="5"/>
      <c r="V203" s="5"/>
      <c r="W203" s="5"/>
      <c r="X203" s="5"/>
      <c r="Y203" s="5"/>
      <c r="Z203" s="5"/>
    </row>
    <row r="204" customFormat="false" ht="13.5" hidden="false" customHeight="true" outlineLevel="0" collapsed="false">
      <c r="A204" s="39"/>
      <c r="B204" s="5"/>
      <c r="C204" s="5"/>
      <c r="D204" s="7"/>
      <c r="E204" s="7"/>
      <c r="F204" s="7"/>
      <c r="G204" s="7"/>
      <c r="H204" s="5"/>
      <c r="I204" s="42"/>
      <c r="J204" s="42"/>
      <c r="K204" s="5"/>
      <c r="L204" s="5"/>
      <c r="M204" s="5"/>
      <c r="N204" s="5"/>
      <c r="O204" s="5"/>
      <c r="P204" s="5"/>
      <c r="Q204" s="5"/>
      <c r="R204" s="5"/>
      <c r="S204" s="5"/>
      <c r="T204" s="5"/>
      <c r="U204" s="5"/>
      <c r="V204" s="5"/>
      <c r="W204" s="5"/>
      <c r="X204" s="5"/>
      <c r="Y204" s="5"/>
      <c r="Z204" s="5"/>
    </row>
    <row r="205" customFormat="false" ht="13.5" hidden="false" customHeight="true" outlineLevel="0" collapsed="false">
      <c r="A205" s="39"/>
      <c r="B205" s="5"/>
      <c r="C205" s="5"/>
      <c r="D205" s="7"/>
      <c r="E205" s="7"/>
      <c r="F205" s="7"/>
      <c r="G205" s="7"/>
      <c r="H205" s="5"/>
      <c r="I205" s="42"/>
      <c r="J205" s="42"/>
      <c r="K205" s="5"/>
      <c r="L205" s="5"/>
      <c r="M205" s="5"/>
      <c r="N205" s="5"/>
      <c r="O205" s="5"/>
      <c r="P205" s="5"/>
      <c r="Q205" s="5"/>
      <c r="R205" s="5"/>
      <c r="S205" s="5"/>
      <c r="T205" s="5"/>
      <c r="U205" s="5"/>
      <c r="V205" s="5"/>
      <c r="W205" s="5"/>
      <c r="X205" s="5"/>
      <c r="Y205" s="5"/>
      <c r="Z205" s="5"/>
    </row>
    <row r="206" customFormat="false" ht="13.5" hidden="false" customHeight="true" outlineLevel="0" collapsed="false">
      <c r="A206" s="39"/>
      <c r="B206" s="5"/>
      <c r="C206" s="5"/>
      <c r="D206" s="7"/>
      <c r="E206" s="7"/>
      <c r="F206" s="7"/>
      <c r="G206" s="7"/>
      <c r="H206" s="5"/>
      <c r="I206" s="42"/>
      <c r="J206" s="42"/>
      <c r="K206" s="5"/>
      <c r="L206" s="5"/>
      <c r="M206" s="5"/>
      <c r="N206" s="5"/>
      <c r="O206" s="5"/>
      <c r="P206" s="5"/>
      <c r="Q206" s="5"/>
      <c r="R206" s="5"/>
      <c r="S206" s="5"/>
      <c r="T206" s="5"/>
      <c r="U206" s="5"/>
      <c r="V206" s="5"/>
      <c r="W206" s="5"/>
      <c r="X206" s="5"/>
      <c r="Y206" s="5"/>
      <c r="Z206" s="5"/>
    </row>
    <row r="207" customFormat="false" ht="13.5" hidden="false" customHeight="true" outlineLevel="0" collapsed="false">
      <c r="A207" s="39"/>
      <c r="B207" s="5"/>
      <c r="C207" s="5"/>
      <c r="D207" s="7"/>
      <c r="E207" s="7"/>
      <c r="F207" s="7"/>
      <c r="G207" s="7"/>
      <c r="H207" s="5"/>
      <c r="I207" s="42"/>
      <c r="J207" s="42"/>
      <c r="K207" s="5"/>
      <c r="L207" s="5"/>
      <c r="M207" s="5"/>
      <c r="N207" s="5"/>
      <c r="O207" s="5"/>
      <c r="P207" s="5"/>
      <c r="Q207" s="5"/>
      <c r="R207" s="5"/>
      <c r="S207" s="5"/>
      <c r="T207" s="5"/>
      <c r="U207" s="5"/>
      <c r="V207" s="5"/>
      <c r="W207" s="5"/>
      <c r="X207" s="5"/>
      <c r="Y207" s="5"/>
      <c r="Z207" s="5"/>
    </row>
    <row r="208" customFormat="false" ht="13.5" hidden="false" customHeight="true" outlineLevel="0" collapsed="false">
      <c r="A208" s="39"/>
      <c r="B208" s="5"/>
      <c r="C208" s="5"/>
      <c r="D208" s="7"/>
      <c r="E208" s="7"/>
      <c r="F208" s="7"/>
      <c r="G208" s="7"/>
      <c r="H208" s="5"/>
      <c r="I208" s="42"/>
      <c r="J208" s="42"/>
      <c r="K208" s="5"/>
      <c r="L208" s="5"/>
      <c r="M208" s="5"/>
      <c r="N208" s="5"/>
      <c r="O208" s="5"/>
      <c r="P208" s="5"/>
      <c r="Q208" s="5"/>
      <c r="R208" s="5"/>
      <c r="S208" s="5"/>
      <c r="T208" s="5"/>
      <c r="U208" s="5"/>
      <c r="V208" s="5"/>
      <c r="W208" s="5"/>
      <c r="X208" s="5"/>
      <c r="Y208" s="5"/>
      <c r="Z208" s="5"/>
    </row>
    <row r="209" customFormat="false" ht="13.5" hidden="false" customHeight="true" outlineLevel="0" collapsed="false">
      <c r="A209" s="39"/>
      <c r="B209" s="5"/>
      <c r="C209" s="5"/>
      <c r="D209" s="7"/>
      <c r="E209" s="7"/>
      <c r="F209" s="7"/>
      <c r="G209" s="7"/>
      <c r="H209" s="5"/>
      <c r="I209" s="42"/>
      <c r="J209" s="42"/>
      <c r="K209" s="5"/>
      <c r="L209" s="5"/>
      <c r="M209" s="5"/>
      <c r="N209" s="5"/>
      <c r="O209" s="5"/>
      <c r="P209" s="5"/>
      <c r="Q209" s="5"/>
      <c r="R209" s="5"/>
      <c r="S209" s="5"/>
      <c r="T209" s="5"/>
      <c r="U209" s="5"/>
      <c r="V209" s="5"/>
      <c r="W209" s="5"/>
      <c r="X209" s="5"/>
      <c r="Y209" s="5"/>
      <c r="Z209" s="5"/>
    </row>
    <row r="210" customFormat="false" ht="13.5" hidden="false" customHeight="true" outlineLevel="0" collapsed="false">
      <c r="A210" s="39"/>
      <c r="B210" s="5"/>
      <c r="C210" s="5"/>
      <c r="D210" s="7"/>
      <c r="E210" s="7"/>
      <c r="F210" s="7"/>
      <c r="G210" s="7"/>
      <c r="H210" s="5"/>
      <c r="I210" s="42"/>
      <c r="J210" s="42"/>
      <c r="K210" s="5"/>
      <c r="L210" s="5"/>
      <c r="M210" s="5"/>
      <c r="N210" s="5"/>
      <c r="O210" s="5"/>
      <c r="P210" s="5"/>
      <c r="Q210" s="5"/>
      <c r="R210" s="5"/>
      <c r="S210" s="5"/>
      <c r="T210" s="5"/>
      <c r="U210" s="5"/>
      <c r="V210" s="5"/>
      <c r="W210" s="5"/>
      <c r="X210" s="5"/>
      <c r="Y210" s="5"/>
      <c r="Z210" s="5"/>
    </row>
    <row r="211" customFormat="false" ht="13.5" hidden="false" customHeight="true" outlineLevel="0" collapsed="false">
      <c r="A211" s="39"/>
      <c r="B211" s="5"/>
      <c r="C211" s="5"/>
      <c r="D211" s="7"/>
      <c r="E211" s="7"/>
      <c r="F211" s="7"/>
      <c r="G211" s="7"/>
      <c r="H211" s="5"/>
      <c r="I211" s="42"/>
      <c r="J211" s="42"/>
      <c r="K211" s="5"/>
      <c r="L211" s="5"/>
      <c r="M211" s="5"/>
      <c r="N211" s="5"/>
      <c r="O211" s="5"/>
      <c r="P211" s="5"/>
      <c r="Q211" s="5"/>
      <c r="R211" s="5"/>
      <c r="S211" s="5"/>
      <c r="T211" s="5"/>
      <c r="U211" s="5"/>
      <c r="V211" s="5"/>
      <c r="W211" s="5"/>
      <c r="X211" s="5"/>
      <c r="Y211" s="5"/>
      <c r="Z211" s="5"/>
    </row>
    <row r="212" customFormat="false" ht="13.5" hidden="false" customHeight="true" outlineLevel="0" collapsed="false">
      <c r="A212" s="39"/>
      <c r="B212" s="5"/>
      <c r="C212" s="5"/>
      <c r="D212" s="7"/>
      <c r="E212" s="7"/>
      <c r="F212" s="7"/>
      <c r="G212" s="7"/>
      <c r="H212" s="5"/>
      <c r="I212" s="42"/>
      <c r="J212" s="42"/>
      <c r="K212" s="5"/>
      <c r="L212" s="5"/>
      <c r="M212" s="5"/>
      <c r="N212" s="5"/>
      <c r="O212" s="5"/>
      <c r="P212" s="5"/>
      <c r="Q212" s="5"/>
      <c r="R212" s="5"/>
      <c r="S212" s="5"/>
      <c r="T212" s="5"/>
      <c r="U212" s="5"/>
      <c r="V212" s="5"/>
      <c r="W212" s="5"/>
      <c r="X212" s="5"/>
      <c r="Y212" s="5"/>
      <c r="Z212" s="5"/>
    </row>
    <row r="213" customFormat="false" ht="13.5" hidden="false" customHeight="true" outlineLevel="0" collapsed="false">
      <c r="A213" s="39"/>
      <c r="B213" s="5"/>
      <c r="C213" s="5"/>
      <c r="D213" s="7"/>
      <c r="E213" s="7"/>
      <c r="F213" s="7"/>
      <c r="G213" s="7"/>
      <c r="H213" s="5"/>
      <c r="I213" s="42"/>
      <c r="J213" s="42"/>
      <c r="K213" s="5"/>
      <c r="L213" s="5"/>
      <c r="M213" s="5"/>
      <c r="N213" s="5"/>
      <c r="O213" s="5"/>
      <c r="P213" s="5"/>
      <c r="Q213" s="5"/>
      <c r="R213" s="5"/>
      <c r="S213" s="5"/>
      <c r="T213" s="5"/>
      <c r="U213" s="5"/>
      <c r="V213" s="5"/>
      <c r="W213" s="5"/>
      <c r="X213" s="5"/>
      <c r="Y213" s="5"/>
      <c r="Z213" s="5"/>
    </row>
    <row r="214" customFormat="false" ht="13.5" hidden="false" customHeight="true" outlineLevel="0" collapsed="false">
      <c r="A214" s="39"/>
      <c r="B214" s="5"/>
      <c r="C214" s="5"/>
      <c r="D214" s="7"/>
      <c r="E214" s="7"/>
      <c r="F214" s="7"/>
      <c r="G214" s="7"/>
      <c r="H214" s="5"/>
      <c r="I214" s="42"/>
      <c r="J214" s="42"/>
      <c r="K214" s="5"/>
      <c r="L214" s="5"/>
      <c r="M214" s="5"/>
      <c r="N214" s="5"/>
      <c r="O214" s="5"/>
      <c r="P214" s="5"/>
      <c r="Q214" s="5"/>
      <c r="R214" s="5"/>
      <c r="S214" s="5"/>
      <c r="T214" s="5"/>
      <c r="U214" s="5"/>
      <c r="V214" s="5"/>
      <c r="W214" s="5"/>
      <c r="X214" s="5"/>
      <c r="Y214" s="5"/>
      <c r="Z214" s="5"/>
    </row>
    <row r="215" customFormat="false" ht="13.5" hidden="false" customHeight="true" outlineLevel="0" collapsed="false">
      <c r="A215" s="39"/>
      <c r="B215" s="5"/>
      <c r="C215" s="5"/>
      <c r="D215" s="7"/>
      <c r="E215" s="7"/>
      <c r="F215" s="7"/>
      <c r="G215" s="7"/>
      <c r="H215" s="5"/>
      <c r="I215" s="42"/>
      <c r="J215" s="42"/>
      <c r="K215" s="5"/>
      <c r="L215" s="5"/>
      <c r="M215" s="5"/>
      <c r="N215" s="5"/>
      <c r="O215" s="5"/>
      <c r="P215" s="5"/>
      <c r="Q215" s="5"/>
      <c r="R215" s="5"/>
      <c r="S215" s="5"/>
      <c r="T215" s="5"/>
      <c r="U215" s="5"/>
      <c r="V215" s="5"/>
      <c r="W215" s="5"/>
      <c r="X215" s="5"/>
      <c r="Y215" s="5"/>
      <c r="Z215" s="5"/>
    </row>
    <row r="216" customFormat="false" ht="13.5" hidden="false" customHeight="true" outlineLevel="0" collapsed="false">
      <c r="A216" s="39"/>
      <c r="B216" s="5"/>
      <c r="C216" s="5"/>
      <c r="D216" s="7"/>
      <c r="E216" s="7"/>
      <c r="F216" s="7"/>
      <c r="G216" s="7"/>
      <c r="H216" s="5"/>
      <c r="I216" s="42"/>
      <c r="J216" s="42"/>
      <c r="K216" s="5"/>
      <c r="L216" s="5"/>
      <c r="M216" s="5"/>
      <c r="N216" s="5"/>
      <c r="O216" s="5"/>
      <c r="P216" s="5"/>
      <c r="Q216" s="5"/>
      <c r="R216" s="5"/>
      <c r="S216" s="5"/>
      <c r="T216" s="5"/>
      <c r="U216" s="5"/>
      <c r="V216" s="5"/>
      <c r="W216" s="5"/>
      <c r="X216" s="5"/>
      <c r="Y216" s="5"/>
      <c r="Z216" s="5"/>
    </row>
    <row r="217" customFormat="false" ht="13.5" hidden="false" customHeight="true" outlineLevel="0" collapsed="false">
      <c r="A217" s="39"/>
      <c r="B217" s="5"/>
      <c r="C217" s="5"/>
      <c r="D217" s="7"/>
      <c r="E217" s="7"/>
      <c r="F217" s="7"/>
      <c r="G217" s="7"/>
      <c r="H217" s="5"/>
      <c r="I217" s="42"/>
      <c r="J217" s="42"/>
      <c r="K217" s="5"/>
      <c r="L217" s="5"/>
      <c r="M217" s="5"/>
      <c r="N217" s="5"/>
      <c r="O217" s="5"/>
      <c r="P217" s="5"/>
      <c r="Q217" s="5"/>
      <c r="R217" s="5"/>
      <c r="S217" s="5"/>
      <c r="T217" s="5"/>
      <c r="U217" s="5"/>
      <c r="V217" s="5"/>
      <c r="W217" s="5"/>
      <c r="X217" s="5"/>
      <c r="Y217" s="5"/>
      <c r="Z217" s="5"/>
    </row>
    <row r="218" customFormat="false" ht="13.5" hidden="false" customHeight="true" outlineLevel="0" collapsed="false">
      <c r="A218" s="39"/>
      <c r="B218" s="5"/>
      <c r="C218" s="5"/>
      <c r="D218" s="7"/>
      <c r="E218" s="7"/>
      <c r="F218" s="7"/>
      <c r="G218" s="7"/>
      <c r="H218" s="5"/>
      <c r="I218" s="42"/>
      <c r="J218" s="42"/>
      <c r="K218" s="5"/>
      <c r="L218" s="5"/>
      <c r="M218" s="5"/>
      <c r="N218" s="5"/>
      <c r="O218" s="5"/>
      <c r="P218" s="5"/>
      <c r="Q218" s="5"/>
      <c r="R218" s="5"/>
      <c r="S218" s="5"/>
      <c r="T218" s="5"/>
      <c r="U218" s="5"/>
      <c r="V218" s="5"/>
      <c r="W218" s="5"/>
      <c r="X218" s="5"/>
      <c r="Y218" s="5"/>
      <c r="Z218" s="5"/>
    </row>
    <row r="219" customFormat="false" ht="13.5" hidden="false" customHeight="true" outlineLevel="0" collapsed="false">
      <c r="A219" s="39"/>
      <c r="B219" s="5"/>
      <c r="C219" s="5"/>
      <c r="D219" s="7"/>
      <c r="E219" s="7"/>
      <c r="F219" s="7"/>
      <c r="G219" s="7"/>
      <c r="H219" s="5"/>
      <c r="I219" s="42"/>
      <c r="J219" s="42"/>
      <c r="K219" s="5"/>
      <c r="L219" s="5"/>
      <c r="M219" s="5"/>
      <c r="N219" s="5"/>
      <c r="O219" s="5"/>
      <c r="P219" s="5"/>
      <c r="Q219" s="5"/>
      <c r="R219" s="5"/>
      <c r="S219" s="5"/>
      <c r="T219" s="5"/>
      <c r="U219" s="5"/>
      <c r="V219" s="5"/>
      <c r="W219" s="5"/>
      <c r="X219" s="5"/>
      <c r="Y219" s="5"/>
      <c r="Z219" s="5"/>
    </row>
    <row r="220" customFormat="false" ht="13.5" hidden="false" customHeight="true" outlineLevel="0" collapsed="false">
      <c r="A220" s="39"/>
      <c r="B220" s="5"/>
      <c r="C220" s="5"/>
      <c r="D220" s="7"/>
      <c r="E220" s="7"/>
      <c r="F220" s="7"/>
      <c r="G220" s="7"/>
      <c r="H220" s="5"/>
      <c r="I220" s="42"/>
      <c r="J220" s="42"/>
      <c r="K220" s="5"/>
      <c r="L220" s="5"/>
      <c r="M220" s="5"/>
      <c r="N220" s="5"/>
      <c r="O220" s="5"/>
      <c r="P220" s="5"/>
      <c r="Q220" s="5"/>
      <c r="R220" s="5"/>
      <c r="S220" s="5"/>
      <c r="T220" s="5"/>
      <c r="U220" s="5"/>
      <c r="V220" s="5"/>
      <c r="W220" s="5"/>
      <c r="X220" s="5"/>
      <c r="Y220" s="5"/>
      <c r="Z220" s="5"/>
    </row>
    <row r="221" customFormat="false" ht="13.5" hidden="false" customHeight="true" outlineLevel="0" collapsed="false">
      <c r="A221" s="39"/>
      <c r="B221" s="5"/>
      <c r="C221" s="5"/>
      <c r="D221" s="7"/>
      <c r="E221" s="7"/>
      <c r="F221" s="7"/>
      <c r="G221" s="7"/>
      <c r="H221" s="5"/>
      <c r="I221" s="42"/>
      <c r="J221" s="42"/>
      <c r="K221" s="5"/>
      <c r="L221" s="5"/>
      <c r="M221" s="5"/>
      <c r="N221" s="5"/>
      <c r="O221" s="5"/>
      <c r="P221" s="5"/>
      <c r="Q221" s="5"/>
      <c r="R221" s="5"/>
      <c r="S221" s="5"/>
      <c r="T221" s="5"/>
      <c r="U221" s="5"/>
      <c r="V221" s="5"/>
      <c r="W221" s="5"/>
      <c r="X221" s="5"/>
      <c r="Y221" s="5"/>
      <c r="Z221" s="5"/>
    </row>
    <row r="222" customFormat="false" ht="13.5" hidden="false" customHeight="true" outlineLevel="0" collapsed="false">
      <c r="A222" s="39"/>
      <c r="B222" s="5"/>
      <c r="C222" s="5"/>
      <c r="D222" s="7"/>
      <c r="E222" s="7"/>
      <c r="F222" s="7"/>
      <c r="G222" s="7"/>
      <c r="H222" s="5"/>
      <c r="I222" s="42"/>
      <c r="J222" s="42"/>
      <c r="K222" s="5"/>
      <c r="L222" s="5"/>
      <c r="M222" s="5"/>
      <c r="N222" s="5"/>
      <c r="O222" s="5"/>
      <c r="P222" s="5"/>
      <c r="Q222" s="5"/>
      <c r="R222" s="5"/>
      <c r="S222" s="5"/>
      <c r="T222" s="5"/>
      <c r="U222" s="5"/>
      <c r="V222" s="5"/>
      <c r="W222" s="5"/>
      <c r="X222" s="5"/>
      <c r="Y222" s="5"/>
      <c r="Z222" s="5"/>
    </row>
    <row r="223" customFormat="false" ht="13.5" hidden="false" customHeight="true" outlineLevel="0" collapsed="false">
      <c r="A223" s="39"/>
      <c r="B223" s="5"/>
      <c r="C223" s="5"/>
      <c r="D223" s="7"/>
      <c r="E223" s="7"/>
      <c r="F223" s="7"/>
      <c r="G223" s="7"/>
      <c r="H223" s="5"/>
      <c r="I223" s="42"/>
      <c r="J223" s="42"/>
      <c r="K223" s="5"/>
      <c r="L223" s="5"/>
      <c r="M223" s="5"/>
      <c r="N223" s="5"/>
      <c r="O223" s="5"/>
      <c r="P223" s="5"/>
      <c r="Q223" s="5"/>
      <c r="R223" s="5"/>
      <c r="S223" s="5"/>
      <c r="T223" s="5"/>
      <c r="U223" s="5"/>
      <c r="V223" s="5"/>
      <c r="W223" s="5"/>
      <c r="X223" s="5"/>
      <c r="Y223" s="5"/>
      <c r="Z223" s="5"/>
    </row>
    <row r="224" customFormat="false" ht="13.5" hidden="false" customHeight="true" outlineLevel="0" collapsed="false">
      <c r="A224" s="39"/>
      <c r="B224" s="5"/>
      <c r="C224" s="5"/>
      <c r="D224" s="7"/>
      <c r="E224" s="7"/>
      <c r="F224" s="7"/>
      <c r="G224" s="7"/>
      <c r="H224" s="5"/>
      <c r="I224" s="42"/>
      <c r="J224" s="42"/>
      <c r="K224" s="5"/>
      <c r="L224" s="5"/>
      <c r="M224" s="5"/>
      <c r="N224" s="5"/>
      <c r="O224" s="5"/>
      <c r="P224" s="5"/>
      <c r="Q224" s="5"/>
      <c r="R224" s="5"/>
      <c r="S224" s="5"/>
      <c r="T224" s="5"/>
      <c r="U224" s="5"/>
      <c r="V224" s="5"/>
      <c r="W224" s="5"/>
      <c r="X224" s="5"/>
      <c r="Y224" s="5"/>
      <c r="Z224" s="5"/>
    </row>
    <row r="225" customFormat="false" ht="13.5" hidden="false" customHeight="true" outlineLevel="0" collapsed="false">
      <c r="A225" s="39"/>
      <c r="B225" s="5"/>
      <c r="C225" s="5"/>
      <c r="D225" s="7"/>
      <c r="E225" s="7"/>
      <c r="F225" s="7"/>
      <c r="G225" s="7"/>
      <c r="H225" s="5"/>
      <c r="I225" s="42"/>
      <c r="J225" s="42"/>
      <c r="K225" s="5"/>
      <c r="L225" s="5"/>
      <c r="M225" s="5"/>
      <c r="N225" s="5"/>
      <c r="O225" s="5"/>
      <c r="P225" s="5"/>
      <c r="Q225" s="5"/>
      <c r="R225" s="5"/>
      <c r="S225" s="5"/>
      <c r="T225" s="5"/>
      <c r="U225" s="5"/>
      <c r="V225" s="5"/>
      <c r="W225" s="5"/>
      <c r="X225" s="5"/>
      <c r="Y225" s="5"/>
      <c r="Z225" s="5"/>
    </row>
    <row r="226" customFormat="false" ht="13.5" hidden="false" customHeight="true" outlineLevel="0" collapsed="false">
      <c r="A226" s="39"/>
      <c r="B226" s="5"/>
      <c r="C226" s="5"/>
      <c r="D226" s="7"/>
      <c r="E226" s="7"/>
      <c r="F226" s="7"/>
      <c r="G226" s="7"/>
      <c r="H226" s="5"/>
      <c r="I226" s="42"/>
      <c r="J226" s="42"/>
      <c r="K226" s="5"/>
      <c r="L226" s="5"/>
      <c r="M226" s="5"/>
      <c r="N226" s="5"/>
      <c r="O226" s="5"/>
      <c r="P226" s="5"/>
      <c r="Q226" s="5"/>
      <c r="R226" s="5"/>
      <c r="S226" s="5"/>
      <c r="T226" s="5"/>
      <c r="U226" s="5"/>
      <c r="V226" s="5"/>
      <c r="W226" s="5"/>
      <c r="X226" s="5"/>
      <c r="Y226" s="5"/>
      <c r="Z226" s="5"/>
    </row>
    <row r="227" customFormat="false" ht="13.5" hidden="false" customHeight="true" outlineLevel="0" collapsed="false">
      <c r="A227" s="39"/>
      <c r="B227" s="5"/>
      <c r="C227" s="5"/>
      <c r="D227" s="7"/>
      <c r="E227" s="7"/>
      <c r="F227" s="7"/>
      <c r="G227" s="7"/>
      <c r="H227" s="5"/>
      <c r="I227" s="42"/>
      <c r="J227" s="42"/>
      <c r="K227" s="5"/>
      <c r="L227" s="5"/>
      <c r="M227" s="5"/>
      <c r="N227" s="5"/>
      <c r="O227" s="5"/>
      <c r="P227" s="5"/>
      <c r="Q227" s="5"/>
      <c r="R227" s="5"/>
      <c r="S227" s="5"/>
      <c r="T227" s="5"/>
      <c r="U227" s="5"/>
      <c r="V227" s="5"/>
      <c r="W227" s="5"/>
      <c r="X227" s="5"/>
      <c r="Y227" s="5"/>
      <c r="Z227" s="5"/>
    </row>
    <row r="228" customFormat="false" ht="13.5" hidden="false" customHeight="true" outlineLevel="0" collapsed="false">
      <c r="A228" s="39"/>
      <c r="B228" s="5"/>
      <c r="C228" s="5"/>
      <c r="D228" s="7"/>
      <c r="E228" s="7"/>
      <c r="F228" s="7"/>
      <c r="G228" s="7"/>
      <c r="H228" s="5"/>
      <c r="I228" s="42"/>
      <c r="J228" s="42"/>
      <c r="K228" s="5"/>
      <c r="L228" s="5"/>
      <c r="M228" s="5"/>
      <c r="N228" s="5"/>
      <c r="O228" s="5"/>
      <c r="P228" s="5"/>
      <c r="Q228" s="5"/>
      <c r="R228" s="5"/>
      <c r="S228" s="5"/>
      <c r="T228" s="5"/>
      <c r="U228" s="5"/>
      <c r="V228" s="5"/>
      <c r="W228" s="5"/>
      <c r="X228" s="5"/>
      <c r="Y228" s="5"/>
      <c r="Z228" s="5"/>
    </row>
    <row r="229" customFormat="false" ht="13.5" hidden="false" customHeight="true" outlineLevel="0" collapsed="false">
      <c r="A229" s="39"/>
      <c r="B229" s="5"/>
      <c r="C229" s="5"/>
      <c r="D229" s="7"/>
      <c r="E229" s="7"/>
      <c r="F229" s="7"/>
      <c r="G229" s="7"/>
      <c r="H229" s="5"/>
      <c r="I229" s="42"/>
      <c r="J229" s="42"/>
      <c r="K229" s="5"/>
      <c r="L229" s="5"/>
      <c r="M229" s="5"/>
      <c r="N229" s="5"/>
      <c r="O229" s="5"/>
      <c r="P229" s="5"/>
      <c r="Q229" s="5"/>
      <c r="R229" s="5"/>
      <c r="S229" s="5"/>
      <c r="T229" s="5"/>
      <c r="U229" s="5"/>
      <c r="V229" s="5"/>
      <c r="W229" s="5"/>
      <c r="X229" s="5"/>
      <c r="Y229" s="5"/>
      <c r="Z229" s="5"/>
    </row>
    <row r="230" customFormat="false" ht="13.5" hidden="false" customHeight="true" outlineLevel="0" collapsed="false">
      <c r="A230" s="39"/>
      <c r="B230" s="5"/>
      <c r="C230" s="5"/>
      <c r="D230" s="7"/>
      <c r="E230" s="7"/>
      <c r="F230" s="7"/>
      <c r="G230" s="7"/>
      <c r="H230" s="5"/>
      <c r="I230" s="42"/>
      <c r="J230" s="42"/>
      <c r="K230" s="5"/>
      <c r="L230" s="5"/>
      <c r="M230" s="5"/>
      <c r="N230" s="5"/>
      <c r="O230" s="5"/>
      <c r="P230" s="5"/>
      <c r="Q230" s="5"/>
      <c r="R230" s="5"/>
      <c r="S230" s="5"/>
      <c r="T230" s="5"/>
      <c r="U230" s="5"/>
      <c r="V230" s="5"/>
      <c r="W230" s="5"/>
      <c r="X230" s="5"/>
      <c r="Y230" s="5"/>
      <c r="Z230" s="5"/>
    </row>
    <row r="231" customFormat="false" ht="13.5" hidden="false" customHeight="true" outlineLevel="0" collapsed="false">
      <c r="A231" s="39"/>
      <c r="B231" s="5"/>
      <c r="C231" s="5"/>
      <c r="D231" s="7"/>
      <c r="E231" s="7"/>
      <c r="F231" s="7"/>
      <c r="G231" s="7"/>
      <c r="H231" s="5"/>
      <c r="I231" s="42"/>
      <c r="J231" s="42"/>
      <c r="K231" s="5"/>
      <c r="L231" s="5"/>
      <c r="M231" s="5"/>
      <c r="N231" s="5"/>
      <c r="O231" s="5"/>
      <c r="P231" s="5"/>
      <c r="Q231" s="5"/>
      <c r="R231" s="5"/>
      <c r="S231" s="5"/>
      <c r="T231" s="5"/>
      <c r="U231" s="5"/>
      <c r="V231" s="5"/>
      <c r="W231" s="5"/>
      <c r="X231" s="5"/>
      <c r="Y231" s="5"/>
      <c r="Z231" s="5"/>
    </row>
    <row r="232" customFormat="false" ht="13.5" hidden="false" customHeight="true" outlineLevel="0" collapsed="false">
      <c r="A232" s="39"/>
      <c r="B232" s="5"/>
      <c r="C232" s="5"/>
      <c r="D232" s="7"/>
      <c r="E232" s="7"/>
      <c r="F232" s="7"/>
      <c r="G232" s="7"/>
      <c r="H232" s="5"/>
      <c r="I232" s="42"/>
      <c r="J232" s="42"/>
      <c r="K232" s="5"/>
      <c r="L232" s="5"/>
      <c r="M232" s="5"/>
      <c r="N232" s="5"/>
      <c r="O232" s="5"/>
      <c r="P232" s="5"/>
      <c r="Q232" s="5"/>
      <c r="R232" s="5"/>
      <c r="S232" s="5"/>
      <c r="T232" s="5"/>
      <c r="U232" s="5"/>
      <c r="V232" s="5"/>
      <c r="W232" s="5"/>
      <c r="X232" s="5"/>
      <c r="Y232" s="5"/>
      <c r="Z232" s="5"/>
    </row>
    <row r="233" customFormat="false" ht="13.5" hidden="false" customHeight="true" outlineLevel="0" collapsed="false">
      <c r="A233" s="39"/>
      <c r="B233" s="5"/>
      <c r="C233" s="5"/>
      <c r="D233" s="7"/>
      <c r="E233" s="7"/>
      <c r="F233" s="7"/>
      <c r="G233" s="7"/>
      <c r="H233" s="5"/>
      <c r="I233" s="42"/>
      <c r="J233" s="42"/>
      <c r="K233" s="5"/>
      <c r="L233" s="5"/>
      <c r="M233" s="5"/>
      <c r="N233" s="5"/>
      <c r="O233" s="5"/>
      <c r="P233" s="5"/>
      <c r="Q233" s="5"/>
      <c r="R233" s="5"/>
      <c r="S233" s="5"/>
      <c r="T233" s="5"/>
      <c r="U233" s="5"/>
      <c r="V233" s="5"/>
      <c r="W233" s="5"/>
      <c r="X233" s="5"/>
      <c r="Y233" s="5"/>
      <c r="Z233" s="5"/>
    </row>
    <row r="234" customFormat="false" ht="13.5" hidden="false" customHeight="true" outlineLevel="0" collapsed="false">
      <c r="A234" s="39"/>
      <c r="B234" s="5"/>
      <c r="C234" s="5"/>
      <c r="D234" s="7"/>
      <c r="E234" s="7"/>
      <c r="F234" s="7"/>
      <c r="G234" s="7"/>
      <c r="H234" s="5"/>
      <c r="I234" s="42"/>
      <c r="J234" s="42"/>
      <c r="K234" s="5"/>
      <c r="L234" s="5"/>
      <c r="M234" s="5"/>
      <c r="N234" s="5"/>
      <c r="O234" s="5"/>
      <c r="P234" s="5"/>
      <c r="Q234" s="5"/>
      <c r="R234" s="5"/>
      <c r="S234" s="5"/>
      <c r="T234" s="5"/>
      <c r="U234" s="5"/>
      <c r="V234" s="5"/>
      <c r="W234" s="5"/>
      <c r="X234" s="5"/>
      <c r="Y234" s="5"/>
      <c r="Z234" s="5"/>
    </row>
    <row r="235" customFormat="false" ht="13.5" hidden="false" customHeight="true" outlineLevel="0" collapsed="false">
      <c r="A235" s="39"/>
      <c r="B235" s="5"/>
      <c r="C235" s="5"/>
      <c r="D235" s="7"/>
      <c r="E235" s="7"/>
      <c r="F235" s="7"/>
      <c r="G235" s="7"/>
      <c r="H235" s="5"/>
      <c r="I235" s="42"/>
      <c r="J235" s="42"/>
      <c r="K235" s="5"/>
      <c r="L235" s="5"/>
      <c r="M235" s="5"/>
      <c r="N235" s="5"/>
      <c r="O235" s="5"/>
      <c r="P235" s="5"/>
      <c r="Q235" s="5"/>
      <c r="R235" s="5"/>
      <c r="S235" s="5"/>
      <c r="T235" s="5"/>
      <c r="U235" s="5"/>
      <c r="V235" s="5"/>
      <c r="W235" s="5"/>
      <c r="X235" s="5"/>
      <c r="Y235" s="5"/>
      <c r="Z235" s="5"/>
    </row>
    <row r="236" customFormat="false" ht="13.5" hidden="false" customHeight="true" outlineLevel="0" collapsed="false">
      <c r="A236" s="39"/>
      <c r="B236" s="5"/>
      <c r="C236" s="5"/>
      <c r="D236" s="7"/>
      <c r="E236" s="7"/>
      <c r="F236" s="7"/>
      <c r="G236" s="7"/>
      <c r="H236" s="5"/>
      <c r="I236" s="42"/>
      <c r="J236" s="42"/>
      <c r="K236" s="5"/>
      <c r="L236" s="5"/>
      <c r="M236" s="5"/>
      <c r="N236" s="5"/>
      <c r="O236" s="5"/>
      <c r="P236" s="5"/>
      <c r="Q236" s="5"/>
      <c r="R236" s="5"/>
      <c r="S236" s="5"/>
      <c r="T236" s="5"/>
      <c r="U236" s="5"/>
      <c r="V236" s="5"/>
      <c r="W236" s="5"/>
      <c r="X236" s="5"/>
      <c r="Y236" s="5"/>
      <c r="Z236" s="5"/>
    </row>
    <row r="237" customFormat="false" ht="13.5" hidden="false" customHeight="true" outlineLevel="0" collapsed="false">
      <c r="A237" s="39"/>
      <c r="B237" s="5"/>
      <c r="C237" s="5"/>
      <c r="D237" s="7"/>
      <c r="E237" s="7"/>
      <c r="F237" s="7"/>
      <c r="G237" s="7"/>
      <c r="H237" s="5"/>
      <c r="I237" s="42"/>
      <c r="J237" s="42"/>
      <c r="K237" s="5"/>
      <c r="L237" s="5"/>
      <c r="M237" s="5"/>
      <c r="N237" s="5"/>
      <c r="O237" s="5"/>
      <c r="P237" s="5"/>
      <c r="Q237" s="5"/>
      <c r="R237" s="5"/>
      <c r="S237" s="5"/>
      <c r="T237" s="5"/>
      <c r="U237" s="5"/>
      <c r="V237" s="5"/>
      <c r="W237" s="5"/>
      <c r="X237" s="5"/>
      <c r="Y237" s="5"/>
      <c r="Z237" s="5"/>
    </row>
    <row r="238" customFormat="false" ht="13.5" hidden="false" customHeight="true" outlineLevel="0" collapsed="false">
      <c r="A238" s="39"/>
      <c r="B238" s="5"/>
      <c r="C238" s="5"/>
      <c r="D238" s="7"/>
      <c r="E238" s="7"/>
      <c r="F238" s="7"/>
      <c r="G238" s="7"/>
      <c r="H238" s="5"/>
      <c r="I238" s="42"/>
      <c r="J238" s="42"/>
      <c r="K238" s="5"/>
      <c r="L238" s="5"/>
      <c r="M238" s="5"/>
      <c r="N238" s="5"/>
      <c r="O238" s="5"/>
      <c r="P238" s="5"/>
      <c r="Q238" s="5"/>
      <c r="R238" s="5"/>
      <c r="S238" s="5"/>
      <c r="T238" s="5"/>
      <c r="U238" s="5"/>
      <c r="V238" s="5"/>
      <c r="W238" s="5"/>
      <c r="X238" s="5"/>
      <c r="Y238" s="5"/>
      <c r="Z238" s="5"/>
    </row>
    <row r="239" customFormat="false" ht="13.5" hidden="false" customHeight="true" outlineLevel="0" collapsed="false">
      <c r="A239" s="39"/>
      <c r="B239" s="5"/>
      <c r="C239" s="5"/>
      <c r="D239" s="7"/>
      <c r="E239" s="7"/>
      <c r="F239" s="7"/>
      <c r="G239" s="7"/>
      <c r="H239" s="5"/>
      <c r="I239" s="42"/>
      <c r="J239" s="42"/>
      <c r="K239" s="5"/>
      <c r="L239" s="5"/>
      <c r="M239" s="5"/>
      <c r="N239" s="5"/>
      <c r="O239" s="5"/>
      <c r="P239" s="5"/>
      <c r="Q239" s="5"/>
      <c r="R239" s="5"/>
      <c r="S239" s="5"/>
      <c r="T239" s="5"/>
      <c r="U239" s="5"/>
      <c r="V239" s="5"/>
      <c r="W239" s="5"/>
      <c r="X239" s="5"/>
      <c r="Y239" s="5"/>
      <c r="Z239" s="5"/>
    </row>
    <row r="240" customFormat="false" ht="13.5" hidden="false" customHeight="true" outlineLevel="0" collapsed="false">
      <c r="A240" s="39"/>
      <c r="B240" s="5"/>
      <c r="C240" s="5"/>
      <c r="D240" s="7"/>
      <c r="E240" s="7"/>
      <c r="F240" s="7"/>
      <c r="G240" s="7"/>
      <c r="H240" s="5"/>
      <c r="I240" s="42"/>
      <c r="J240" s="42"/>
      <c r="K240" s="5"/>
      <c r="L240" s="5"/>
      <c r="M240" s="5"/>
      <c r="N240" s="5"/>
      <c r="O240" s="5"/>
      <c r="P240" s="5"/>
      <c r="Q240" s="5"/>
      <c r="R240" s="5"/>
      <c r="S240" s="5"/>
      <c r="T240" s="5"/>
      <c r="U240" s="5"/>
      <c r="V240" s="5"/>
      <c r="W240" s="5"/>
      <c r="X240" s="5"/>
      <c r="Y240" s="5"/>
      <c r="Z240" s="5"/>
    </row>
    <row r="241" customFormat="false" ht="13.5" hidden="false" customHeight="true" outlineLevel="0" collapsed="false">
      <c r="A241" s="39"/>
      <c r="B241" s="5"/>
      <c r="C241" s="5"/>
      <c r="D241" s="7"/>
      <c r="E241" s="7"/>
      <c r="F241" s="7"/>
      <c r="G241" s="7"/>
      <c r="H241" s="5"/>
      <c r="I241" s="42"/>
      <c r="J241" s="42"/>
      <c r="K241" s="5"/>
      <c r="L241" s="5"/>
      <c r="M241" s="5"/>
      <c r="N241" s="5"/>
      <c r="O241" s="5"/>
      <c r="P241" s="5"/>
      <c r="Q241" s="5"/>
      <c r="R241" s="5"/>
      <c r="S241" s="5"/>
      <c r="T241" s="5"/>
      <c r="U241" s="5"/>
      <c r="V241" s="5"/>
      <c r="W241" s="5"/>
      <c r="X241" s="5"/>
      <c r="Y241" s="5"/>
      <c r="Z241" s="5"/>
    </row>
    <row r="242" customFormat="false" ht="13.5" hidden="false" customHeight="true" outlineLevel="0" collapsed="false">
      <c r="A242" s="39"/>
      <c r="B242" s="5"/>
      <c r="C242" s="5"/>
      <c r="D242" s="7"/>
      <c r="E242" s="7"/>
      <c r="F242" s="7"/>
      <c r="G242" s="7"/>
      <c r="H242" s="5"/>
      <c r="I242" s="42"/>
      <c r="J242" s="42"/>
      <c r="K242" s="5"/>
      <c r="L242" s="5"/>
      <c r="M242" s="5"/>
      <c r="N242" s="5"/>
      <c r="O242" s="5"/>
      <c r="P242" s="5"/>
      <c r="Q242" s="5"/>
      <c r="R242" s="5"/>
      <c r="S242" s="5"/>
      <c r="T242" s="5"/>
      <c r="U242" s="5"/>
      <c r="V242" s="5"/>
      <c r="W242" s="5"/>
      <c r="X242" s="5"/>
      <c r="Y242" s="5"/>
      <c r="Z242" s="5"/>
    </row>
    <row r="243" customFormat="false" ht="13.5" hidden="false" customHeight="true" outlineLevel="0" collapsed="false">
      <c r="A243" s="39"/>
      <c r="B243" s="5"/>
      <c r="C243" s="5"/>
      <c r="D243" s="7"/>
      <c r="E243" s="7"/>
      <c r="F243" s="7"/>
      <c r="G243" s="7"/>
      <c r="H243" s="5"/>
      <c r="I243" s="42"/>
      <c r="J243" s="42"/>
      <c r="K243" s="5"/>
      <c r="L243" s="5"/>
      <c r="M243" s="5"/>
      <c r="N243" s="5"/>
      <c r="O243" s="5"/>
      <c r="P243" s="5"/>
      <c r="Q243" s="5"/>
      <c r="R243" s="5"/>
      <c r="S243" s="5"/>
      <c r="T243" s="5"/>
      <c r="U243" s="5"/>
      <c r="V243" s="5"/>
      <c r="W243" s="5"/>
      <c r="X243" s="5"/>
      <c r="Y243" s="5"/>
      <c r="Z243" s="5"/>
    </row>
    <row r="244" customFormat="false" ht="13.5" hidden="false" customHeight="true" outlineLevel="0" collapsed="false">
      <c r="A244" s="39"/>
      <c r="B244" s="5"/>
      <c r="C244" s="5"/>
      <c r="D244" s="7"/>
      <c r="E244" s="7"/>
      <c r="F244" s="7"/>
      <c r="G244" s="7"/>
      <c r="H244" s="5"/>
      <c r="I244" s="42"/>
      <c r="J244" s="42"/>
      <c r="K244" s="5"/>
      <c r="L244" s="5"/>
      <c r="M244" s="5"/>
      <c r="N244" s="5"/>
      <c r="O244" s="5"/>
      <c r="P244" s="5"/>
      <c r="Q244" s="5"/>
      <c r="R244" s="5"/>
      <c r="S244" s="5"/>
      <c r="T244" s="5"/>
      <c r="U244" s="5"/>
      <c r="V244" s="5"/>
      <c r="W244" s="5"/>
      <c r="X244" s="5"/>
      <c r="Y244" s="5"/>
      <c r="Z244" s="5"/>
    </row>
    <row r="245" customFormat="false" ht="13.5" hidden="false" customHeight="true" outlineLevel="0" collapsed="false">
      <c r="A245" s="39"/>
      <c r="B245" s="5"/>
      <c r="C245" s="5"/>
      <c r="D245" s="7"/>
      <c r="E245" s="7"/>
      <c r="F245" s="7"/>
      <c r="G245" s="7"/>
      <c r="H245" s="5"/>
      <c r="I245" s="42"/>
      <c r="J245" s="42"/>
      <c r="K245" s="5"/>
      <c r="L245" s="5"/>
      <c r="M245" s="5"/>
      <c r="N245" s="5"/>
      <c r="O245" s="5"/>
      <c r="P245" s="5"/>
      <c r="Q245" s="5"/>
      <c r="R245" s="5"/>
      <c r="S245" s="5"/>
      <c r="T245" s="5"/>
      <c r="U245" s="5"/>
      <c r="V245" s="5"/>
      <c r="W245" s="5"/>
      <c r="X245" s="5"/>
      <c r="Y245" s="5"/>
      <c r="Z245" s="5"/>
    </row>
    <row r="246" customFormat="false" ht="13.5" hidden="false" customHeight="true" outlineLevel="0" collapsed="false">
      <c r="A246" s="39"/>
      <c r="B246" s="5"/>
      <c r="C246" s="5"/>
      <c r="D246" s="7"/>
      <c r="E246" s="7"/>
      <c r="F246" s="7"/>
      <c r="G246" s="7"/>
      <c r="H246" s="5"/>
      <c r="I246" s="42"/>
      <c r="J246" s="42"/>
      <c r="K246" s="5"/>
      <c r="L246" s="5"/>
      <c r="M246" s="5"/>
      <c r="N246" s="5"/>
      <c r="O246" s="5"/>
      <c r="P246" s="5"/>
      <c r="Q246" s="5"/>
      <c r="R246" s="5"/>
      <c r="S246" s="5"/>
      <c r="T246" s="5"/>
      <c r="U246" s="5"/>
      <c r="V246" s="5"/>
      <c r="W246" s="5"/>
      <c r="X246" s="5"/>
      <c r="Y246" s="5"/>
      <c r="Z246" s="5"/>
    </row>
    <row r="247" customFormat="false" ht="13.5" hidden="false" customHeight="true" outlineLevel="0" collapsed="false">
      <c r="A247" s="39"/>
      <c r="B247" s="5"/>
      <c r="C247" s="5"/>
      <c r="D247" s="7"/>
      <c r="E247" s="7"/>
      <c r="F247" s="7"/>
      <c r="G247" s="7"/>
      <c r="H247" s="5"/>
      <c r="I247" s="42"/>
      <c r="J247" s="42"/>
      <c r="K247" s="5"/>
      <c r="L247" s="5"/>
      <c r="M247" s="5"/>
      <c r="N247" s="5"/>
      <c r="O247" s="5"/>
      <c r="P247" s="5"/>
      <c r="Q247" s="5"/>
      <c r="R247" s="5"/>
      <c r="S247" s="5"/>
      <c r="T247" s="5"/>
      <c r="U247" s="5"/>
      <c r="V247" s="5"/>
      <c r="W247" s="5"/>
      <c r="X247" s="5"/>
      <c r="Y247" s="5"/>
      <c r="Z247" s="5"/>
    </row>
    <row r="248" customFormat="false" ht="13.5" hidden="false" customHeight="true" outlineLevel="0" collapsed="false">
      <c r="A248" s="39"/>
      <c r="B248" s="5"/>
      <c r="C248" s="5"/>
      <c r="D248" s="7"/>
      <c r="E248" s="7"/>
      <c r="F248" s="7"/>
      <c r="G248" s="7"/>
      <c r="H248" s="5"/>
      <c r="I248" s="42"/>
      <c r="J248" s="42"/>
      <c r="K248" s="5"/>
      <c r="L248" s="5"/>
      <c r="M248" s="5"/>
      <c r="N248" s="5"/>
      <c r="O248" s="5"/>
      <c r="P248" s="5"/>
      <c r="Q248" s="5"/>
      <c r="R248" s="5"/>
      <c r="S248" s="5"/>
      <c r="T248" s="5"/>
      <c r="U248" s="5"/>
      <c r="V248" s="5"/>
      <c r="W248" s="5"/>
      <c r="X248" s="5"/>
      <c r="Y248" s="5"/>
      <c r="Z248" s="5"/>
    </row>
    <row r="249" customFormat="false" ht="13.5" hidden="false" customHeight="true" outlineLevel="0" collapsed="false">
      <c r="A249" s="39"/>
      <c r="B249" s="5"/>
      <c r="C249" s="5"/>
      <c r="D249" s="7"/>
      <c r="E249" s="7"/>
      <c r="F249" s="7"/>
      <c r="G249" s="7"/>
      <c r="H249" s="5"/>
      <c r="I249" s="42"/>
      <c r="J249" s="42"/>
      <c r="K249" s="5"/>
      <c r="L249" s="5"/>
      <c r="M249" s="5"/>
      <c r="N249" s="5"/>
      <c r="O249" s="5"/>
      <c r="P249" s="5"/>
      <c r="Q249" s="5"/>
      <c r="R249" s="5"/>
      <c r="S249" s="5"/>
      <c r="T249" s="5"/>
      <c r="U249" s="5"/>
      <c r="V249" s="5"/>
      <c r="W249" s="5"/>
      <c r="X249" s="5"/>
      <c r="Y249" s="5"/>
      <c r="Z249" s="5"/>
    </row>
    <row r="250" customFormat="false" ht="13.5" hidden="false" customHeight="true" outlineLevel="0" collapsed="false">
      <c r="A250" s="39"/>
      <c r="B250" s="5"/>
      <c r="C250" s="5"/>
      <c r="D250" s="7"/>
      <c r="E250" s="7"/>
      <c r="F250" s="7"/>
      <c r="G250" s="7"/>
      <c r="H250" s="5"/>
      <c r="I250" s="42"/>
      <c r="J250" s="42"/>
      <c r="K250" s="5"/>
      <c r="L250" s="5"/>
      <c r="M250" s="5"/>
      <c r="N250" s="5"/>
      <c r="O250" s="5"/>
      <c r="P250" s="5"/>
      <c r="Q250" s="5"/>
      <c r="R250" s="5"/>
      <c r="S250" s="5"/>
      <c r="T250" s="5"/>
      <c r="U250" s="5"/>
      <c r="V250" s="5"/>
      <c r="W250" s="5"/>
      <c r="X250" s="5"/>
      <c r="Y250" s="5"/>
      <c r="Z250" s="5"/>
    </row>
    <row r="251" customFormat="false" ht="13.5" hidden="false" customHeight="true" outlineLevel="0" collapsed="false">
      <c r="A251" s="39"/>
      <c r="B251" s="5"/>
      <c r="C251" s="5"/>
      <c r="D251" s="7"/>
      <c r="E251" s="7"/>
      <c r="F251" s="7"/>
      <c r="G251" s="7"/>
      <c r="H251" s="5"/>
      <c r="I251" s="42"/>
      <c r="J251" s="42"/>
      <c r="K251" s="5"/>
      <c r="L251" s="5"/>
      <c r="M251" s="5"/>
      <c r="N251" s="5"/>
      <c r="O251" s="5"/>
      <c r="P251" s="5"/>
      <c r="Q251" s="5"/>
      <c r="R251" s="5"/>
      <c r="S251" s="5"/>
      <c r="T251" s="5"/>
      <c r="U251" s="5"/>
      <c r="V251" s="5"/>
      <c r="W251" s="5"/>
      <c r="X251" s="5"/>
      <c r="Y251" s="5"/>
      <c r="Z251" s="5"/>
    </row>
    <row r="252" customFormat="false" ht="13.5" hidden="false" customHeight="true" outlineLevel="0" collapsed="false">
      <c r="A252" s="39"/>
      <c r="B252" s="5"/>
      <c r="C252" s="5"/>
      <c r="D252" s="7"/>
      <c r="E252" s="7"/>
      <c r="F252" s="7"/>
      <c r="G252" s="7"/>
      <c r="H252" s="5"/>
      <c r="I252" s="42"/>
      <c r="J252" s="42"/>
      <c r="K252" s="5"/>
      <c r="L252" s="5"/>
      <c r="M252" s="5"/>
      <c r="N252" s="5"/>
      <c r="O252" s="5"/>
      <c r="P252" s="5"/>
      <c r="Q252" s="5"/>
      <c r="R252" s="5"/>
      <c r="S252" s="5"/>
      <c r="T252" s="5"/>
      <c r="U252" s="5"/>
      <c r="V252" s="5"/>
      <c r="W252" s="5"/>
      <c r="X252" s="5"/>
      <c r="Y252" s="5"/>
      <c r="Z252" s="5"/>
    </row>
    <row r="253" customFormat="false" ht="13.5" hidden="false" customHeight="true" outlineLevel="0" collapsed="false">
      <c r="A253" s="39"/>
      <c r="B253" s="5"/>
      <c r="C253" s="5"/>
      <c r="D253" s="7"/>
      <c r="E253" s="7"/>
      <c r="F253" s="7"/>
      <c r="G253" s="7"/>
      <c r="H253" s="5"/>
      <c r="I253" s="42"/>
      <c r="J253" s="42"/>
      <c r="K253" s="5"/>
      <c r="L253" s="5"/>
      <c r="M253" s="5"/>
      <c r="N253" s="5"/>
      <c r="O253" s="5"/>
      <c r="P253" s="5"/>
      <c r="Q253" s="5"/>
      <c r="R253" s="5"/>
      <c r="S253" s="5"/>
      <c r="T253" s="5"/>
      <c r="U253" s="5"/>
      <c r="V253" s="5"/>
      <c r="W253" s="5"/>
      <c r="X253" s="5"/>
      <c r="Y253" s="5"/>
      <c r="Z253" s="5"/>
    </row>
    <row r="254" customFormat="false" ht="13.5" hidden="false" customHeight="true" outlineLevel="0" collapsed="false">
      <c r="A254" s="39"/>
      <c r="B254" s="5"/>
      <c r="C254" s="5"/>
      <c r="D254" s="7"/>
      <c r="E254" s="7"/>
      <c r="F254" s="7"/>
      <c r="G254" s="7"/>
      <c r="H254" s="5"/>
      <c r="I254" s="42"/>
      <c r="J254" s="42"/>
      <c r="K254" s="5"/>
      <c r="L254" s="5"/>
      <c r="M254" s="5"/>
      <c r="N254" s="5"/>
      <c r="O254" s="5"/>
      <c r="P254" s="5"/>
      <c r="Q254" s="5"/>
      <c r="R254" s="5"/>
      <c r="S254" s="5"/>
      <c r="T254" s="5"/>
      <c r="U254" s="5"/>
      <c r="V254" s="5"/>
      <c r="W254" s="5"/>
      <c r="X254" s="5"/>
      <c r="Y254" s="5"/>
      <c r="Z254" s="5"/>
    </row>
    <row r="255" customFormat="false" ht="13.5" hidden="false" customHeight="true" outlineLevel="0" collapsed="false">
      <c r="A255" s="39"/>
      <c r="B255" s="5"/>
      <c r="C255" s="5"/>
      <c r="D255" s="7"/>
      <c r="E255" s="7"/>
      <c r="F255" s="7"/>
      <c r="G255" s="7"/>
      <c r="H255" s="5"/>
      <c r="I255" s="42"/>
      <c r="J255" s="42"/>
      <c r="K255" s="5"/>
      <c r="L255" s="5"/>
      <c r="M255" s="5"/>
      <c r="N255" s="5"/>
      <c r="O255" s="5"/>
      <c r="P255" s="5"/>
      <c r="Q255" s="5"/>
      <c r="R255" s="5"/>
      <c r="S255" s="5"/>
      <c r="T255" s="5"/>
      <c r="U255" s="5"/>
      <c r="V255" s="5"/>
      <c r="W255" s="5"/>
      <c r="X255" s="5"/>
      <c r="Y255" s="5"/>
      <c r="Z255" s="5"/>
    </row>
    <row r="256" customFormat="false" ht="13.5" hidden="false" customHeight="true" outlineLevel="0" collapsed="false">
      <c r="A256" s="39"/>
      <c r="B256" s="5"/>
      <c r="C256" s="5"/>
      <c r="D256" s="7"/>
      <c r="E256" s="7"/>
      <c r="F256" s="7"/>
      <c r="G256" s="7"/>
      <c r="H256" s="5"/>
      <c r="I256" s="42"/>
      <c r="J256" s="42"/>
      <c r="K256" s="5"/>
      <c r="L256" s="5"/>
      <c r="M256" s="5"/>
      <c r="N256" s="5"/>
      <c r="O256" s="5"/>
      <c r="P256" s="5"/>
      <c r="Q256" s="5"/>
      <c r="R256" s="5"/>
      <c r="S256" s="5"/>
      <c r="T256" s="5"/>
      <c r="U256" s="5"/>
      <c r="V256" s="5"/>
      <c r="W256" s="5"/>
      <c r="X256" s="5"/>
      <c r="Y256" s="5"/>
      <c r="Z256" s="5"/>
    </row>
    <row r="257" customFormat="false" ht="13.5" hidden="false" customHeight="true" outlineLevel="0" collapsed="false">
      <c r="A257" s="39"/>
      <c r="B257" s="5"/>
      <c r="C257" s="5"/>
      <c r="D257" s="7"/>
      <c r="E257" s="7"/>
      <c r="F257" s="7"/>
      <c r="G257" s="7"/>
      <c r="H257" s="5"/>
      <c r="I257" s="42"/>
      <c r="J257" s="42"/>
      <c r="K257" s="5"/>
      <c r="L257" s="5"/>
      <c r="M257" s="5"/>
      <c r="N257" s="5"/>
      <c r="O257" s="5"/>
      <c r="P257" s="5"/>
      <c r="Q257" s="5"/>
      <c r="R257" s="5"/>
      <c r="S257" s="5"/>
      <c r="T257" s="5"/>
      <c r="U257" s="5"/>
      <c r="V257" s="5"/>
      <c r="W257" s="5"/>
      <c r="X257" s="5"/>
      <c r="Y257" s="5"/>
      <c r="Z257" s="5"/>
    </row>
    <row r="258" customFormat="false" ht="13.5" hidden="false" customHeight="true" outlineLevel="0" collapsed="false">
      <c r="A258" s="39"/>
      <c r="B258" s="5"/>
      <c r="C258" s="5"/>
      <c r="D258" s="7"/>
      <c r="E258" s="7"/>
      <c r="F258" s="7"/>
      <c r="G258" s="7"/>
      <c r="H258" s="5"/>
      <c r="I258" s="42"/>
      <c r="J258" s="42"/>
      <c r="K258" s="5"/>
      <c r="L258" s="5"/>
      <c r="M258" s="5"/>
      <c r="N258" s="5"/>
      <c r="O258" s="5"/>
      <c r="P258" s="5"/>
      <c r="Q258" s="5"/>
      <c r="R258" s="5"/>
      <c r="S258" s="5"/>
      <c r="T258" s="5"/>
      <c r="U258" s="5"/>
      <c r="V258" s="5"/>
      <c r="W258" s="5"/>
      <c r="X258" s="5"/>
      <c r="Y258" s="5"/>
      <c r="Z258" s="5"/>
    </row>
    <row r="259" customFormat="false" ht="13.5" hidden="false" customHeight="true" outlineLevel="0" collapsed="false">
      <c r="A259" s="39"/>
      <c r="B259" s="5"/>
      <c r="C259" s="5"/>
      <c r="D259" s="7"/>
      <c r="E259" s="7"/>
      <c r="F259" s="7"/>
      <c r="G259" s="7"/>
      <c r="H259" s="5"/>
      <c r="I259" s="42"/>
      <c r="J259" s="42"/>
      <c r="K259" s="5"/>
      <c r="L259" s="5"/>
      <c r="M259" s="5"/>
      <c r="N259" s="5"/>
      <c r="O259" s="5"/>
      <c r="P259" s="5"/>
      <c r="Q259" s="5"/>
      <c r="R259" s="5"/>
      <c r="S259" s="5"/>
      <c r="T259" s="5"/>
      <c r="U259" s="5"/>
      <c r="V259" s="5"/>
      <c r="W259" s="5"/>
      <c r="X259" s="5"/>
      <c r="Y259" s="5"/>
      <c r="Z259" s="5"/>
    </row>
    <row r="260" customFormat="false" ht="13.5" hidden="false" customHeight="true" outlineLevel="0" collapsed="false">
      <c r="A260" s="39"/>
      <c r="B260" s="5"/>
      <c r="C260" s="5"/>
      <c r="D260" s="7"/>
      <c r="E260" s="7"/>
      <c r="F260" s="7"/>
      <c r="G260" s="7"/>
      <c r="H260" s="5"/>
      <c r="I260" s="42"/>
      <c r="J260" s="42"/>
      <c r="K260" s="5"/>
      <c r="L260" s="5"/>
      <c r="M260" s="5"/>
      <c r="N260" s="5"/>
      <c r="O260" s="5"/>
      <c r="P260" s="5"/>
      <c r="Q260" s="5"/>
      <c r="R260" s="5"/>
      <c r="S260" s="5"/>
      <c r="T260" s="5"/>
      <c r="U260" s="5"/>
      <c r="V260" s="5"/>
      <c r="W260" s="5"/>
      <c r="X260" s="5"/>
      <c r="Y260" s="5"/>
      <c r="Z260" s="5"/>
    </row>
    <row r="261" customFormat="false" ht="13.5" hidden="false" customHeight="true" outlineLevel="0" collapsed="false">
      <c r="A261" s="39"/>
      <c r="B261" s="5"/>
      <c r="C261" s="5"/>
      <c r="D261" s="7"/>
      <c r="E261" s="7"/>
      <c r="F261" s="7"/>
      <c r="G261" s="7"/>
      <c r="H261" s="5"/>
      <c r="I261" s="42"/>
      <c r="J261" s="42"/>
      <c r="K261" s="5"/>
      <c r="L261" s="5"/>
      <c r="M261" s="5"/>
      <c r="N261" s="5"/>
      <c r="O261" s="5"/>
      <c r="P261" s="5"/>
      <c r="Q261" s="5"/>
      <c r="R261" s="5"/>
      <c r="S261" s="5"/>
      <c r="T261" s="5"/>
      <c r="U261" s="5"/>
      <c r="V261" s="5"/>
      <c r="W261" s="5"/>
      <c r="X261" s="5"/>
      <c r="Y261" s="5"/>
      <c r="Z261" s="5"/>
    </row>
    <row r="262" customFormat="false" ht="13.5" hidden="false" customHeight="true" outlineLevel="0" collapsed="false">
      <c r="A262" s="39"/>
      <c r="B262" s="5"/>
      <c r="C262" s="5"/>
      <c r="D262" s="7"/>
      <c r="E262" s="7"/>
      <c r="F262" s="7"/>
      <c r="G262" s="7"/>
      <c r="H262" s="5"/>
      <c r="I262" s="42"/>
      <c r="J262" s="42"/>
      <c r="K262" s="5"/>
      <c r="L262" s="5"/>
      <c r="M262" s="5"/>
      <c r="N262" s="5"/>
      <c r="O262" s="5"/>
      <c r="P262" s="5"/>
      <c r="Q262" s="5"/>
      <c r="R262" s="5"/>
      <c r="S262" s="5"/>
      <c r="T262" s="5"/>
      <c r="U262" s="5"/>
      <c r="V262" s="5"/>
      <c r="W262" s="5"/>
      <c r="X262" s="5"/>
      <c r="Y262" s="5"/>
      <c r="Z262" s="5"/>
    </row>
    <row r="263" customFormat="false" ht="13.5" hidden="false" customHeight="true" outlineLevel="0" collapsed="false">
      <c r="A263" s="39"/>
      <c r="B263" s="5"/>
      <c r="C263" s="5"/>
      <c r="D263" s="7"/>
      <c r="E263" s="7"/>
      <c r="F263" s="7"/>
      <c r="G263" s="7"/>
      <c r="H263" s="5"/>
      <c r="I263" s="42"/>
      <c r="J263" s="42"/>
      <c r="K263" s="5"/>
      <c r="L263" s="5"/>
      <c r="M263" s="5"/>
      <c r="N263" s="5"/>
      <c r="O263" s="5"/>
      <c r="P263" s="5"/>
      <c r="Q263" s="5"/>
      <c r="R263" s="5"/>
      <c r="S263" s="5"/>
      <c r="T263" s="5"/>
      <c r="U263" s="5"/>
      <c r="V263" s="5"/>
      <c r="W263" s="5"/>
      <c r="X263" s="5"/>
      <c r="Y263" s="5"/>
      <c r="Z263" s="5"/>
    </row>
    <row r="264" customFormat="false" ht="13.5" hidden="false" customHeight="true" outlineLevel="0" collapsed="false">
      <c r="A264" s="39"/>
      <c r="B264" s="5"/>
      <c r="C264" s="5"/>
      <c r="D264" s="7"/>
      <c r="E264" s="7"/>
      <c r="F264" s="7"/>
      <c r="G264" s="7"/>
      <c r="H264" s="5"/>
      <c r="I264" s="42"/>
      <c r="J264" s="42"/>
      <c r="K264" s="5"/>
      <c r="L264" s="5"/>
      <c r="M264" s="5"/>
      <c r="N264" s="5"/>
      <c r="O264" s="5"/>
      <c r="P264" s="5"/>
      <c r="Q264" s="5"/>
      <c r="R264" s="5"/>
      <c r="S264" s="5"/>
      <c r="T264" s="5"/>
      <c r="U264" s="5"/>
      <c r="V264" s="5"/>
      <c r="W264" s="5"/>
      <c r="X264" s="5"/>
      <c r="Y264" s="5"/>
      <c r="Z264" s="5"/>
    </row>
    <row r="265" customFormat="false" ht="13.5" hidden="false" customHeight="true" outlineLevel="0" collapsed="false">
      <c r="A265" s="39"/>
      <c r="B265" s="5"/>
      <c r="C265" s="5"/>
      <c r="D265" s="7"/>
      <c r="E265" s="7"/>
      <c r="F265" s="7"/>
      <c r="G265" s="7"/>
      <c r="H265" s="5"/>
      <c r="I265" s="42"/>
      <c r="J265" s="42"/>
      <c r="K265" s="5"/>
      <c r="L265" s="5"/>
      <c r="M265" s="5"/>
      <c r="N265" s="5"/>
      <c r="O265" s="5"/>
      <c r="P265" s="5"/>
      <c r="Q265" s="5"/>
      <c r="R265" s="5"/>
      <c r="S265" s="5"/>
      <c r="T265" s="5"/>
      <c r="U265" s="5"/>
      <c r="V265" s="5"/>
      <c r="W265" s="5"/>
      <c r="X265" s="5"/>
      <c r="Y265" s="5"/>
      <c r="Z265" s="5"/>
    </row>
    <row r="266" customFormat="false" ht="13.5" hidden="false" customHeight="true" outlineLevel="0" collapsed="false">
      <c r="A266" s="39"/>
      <c r="B266" s="5"/>
      <c r="C266" s="5"/>
      <c r="D266" s="7"/>
      <c r="E266" s="7"/>
      <c r="F266" s="7"/>
      <c r="G266" s="7"/>
      <c r="H266" s="5"/>
      <c r="I266" s="42"/>
      <c r="J266" s="42"/>
      <c r="K266" s="5"/>
      <c r="L266" s="5"/>
      <c r="M266" s="5"/>
      <c r="N266" s="5"/>
      <c r="O266" s="5"/>
      <c r="P266" s="5"/>
      <c r="Q266" s="5"/>
      <c r="R266" s="5"/>
      <c r="S266" s="5"/>
      <c r="T266" s="5"/>
      <c r="U266" s="5"/>
      <c r="V266" s="5"/>
      <c r="W266" s="5"/>
      <c r="X266" s="5"/>
      <c r="Y266" s="5"/>
      <c r="Z266" s="5"/>
    </row>
    <row r="267" customFormat="false" ht="13.5" hidden="false" customHeight="true" outlineLevel="0" collapsed="false">
      <c r="A267" s="39"/>
      <c r="B267" s="5"/>
      <c r="C267" s="5"/>
      <c r="D267" s="7"/>
      <c r="E267" s="7"/>
      <c r="F267" s="7"/>
      <c r="G267" s="7"/>
      <c r="H267" s="5"/>
      <c r="I267" s="42"/>
      <c r="J267" s="42"/>
      <c r="K267" s="5"/>
      <c r="L267" s="5"/>
      <c r="M267" s="5"/>
      <c r="N267" s="5"/>
      <c r="O267" s="5"/>
      <c r="P267" s="5"/>
      <c r="Q267" s="5"/>
      <c r="R267" s="5"/>
      <c r="S267" s="5"/>
      <c r="T267" s="5"/>
      <c r="U267" s="5"/>
      <c r="V267" s="5"/>
      <c r="W267" s="5"/>
      <c r="X267" s="5"/>
      <c r="Y267" s="5"/>
      <c r="Z267" s="5"/>
    </row>
    <row r="268" customFormat="false" ht="13.5" hidden="false" customHeight="true" outlineLevel="0" collapsed="false">
      <c r="A268" s="39"/>
      <c r="B268" s="5"/>
      <c r="C268" s="5"/>
      <c r="D268" s="7"/>
      <c r="E268" s="7"/>
      <c r="F268" s="7"/>
      <c r="G268" s="7"/>
      <c r="H268" s="5"/>
      <c r="I268" s="42"/>
      <c r="J268" s="42"/>
      <c r="K268" s="5"/>
      <c r="L268" s="5"/>
      <c r="M268" s="5"/>
      <c r="N268" s="5"/>
      <c r="O268" s="5"/>
      <c r="P268" s="5"/>
      <c r="Q268" s="5"/>
      <c r="R268" s="5"/>
      <c r="S268" s="5"/>
      <c r="T268" s="5"/>
      <c r="U268" s="5"/>
      <c r="V268" s="5"/>
      <c r="W268" s="5"/>
      <c r="X268" s="5"/>
      <c r="Y268" s="5"/>
      <c r="Z268" s="5"/>
    </row>
    <row r="269" customFormat="false" ht="13.5" hidden="false" customHeight="true" outlineLevel="0" collapsed="false">
      <c r="A269" s="39"/>
      <c r="B269" s="5"/>
      <c r="C269" s="5"/>
      <c r="D269" s="7"/>
      <c r="E269" s="7"/>
      <c r="F269" s="7"/>
      <c r="G269" s="7"/>
      <c r="H269" s="5"/>
      <c r="I269" s="42"/>
      <c r="J269" s="42"/>
      <c r="K269" s="5"/>
      <c r="L269" s="5"/>
      <c r="M269" s="5"/>
      <c r="N269" s="5"/>
      <c r="O269" s="5"/>
      <c r="P269" s="5"/>
      <c r="Q269" s="5"/>
      <c r="R269" s="5"/>
      <c r="S269" s="5"/>
      <c r="T269" s="5"/>
      <c r="U269" s="5"/>
      <c r="V269" s="5"/>
      <c r="W269" s="5"/>
      <c r="X269" s="5"/>
      <c r="Y269" s="5"/>
      <c r="Z269" s="5"/>
    </row>
    <row r="270" customFormat="false" ht="13.5" hidden="false" customHeight="true" outlineLevel="0" collapsed="false">
      <c r="A270" s="39"/>
      <c r="B270" s="5"/>
      <c r="C270" s="5"/>
      <c r="D270" s="7"/>
      <c r="E270" s="7"/>
      <c r="F270" s="7"/>
      <c r="G270" s="7"/>
      <c r="H270" s="5"/>
      <c r="I270" s="42"/>
      <c r="J270" s="42"/>
      <c r="K270" s="5"/>
      <c r="L270" s="5"/>
      <c r="M270" s="5"/>
      <c r="N270" s="5"/>
      <c r="O270" s="5"/>
      <c r="P270" s="5"/>
      <c r="Q270" s="5"/>
      <c r="R270" s="5"/>
      <c r="S270" s="5"/>
      <c r="T270" s="5"/>
      <c r="U270" s="5"/>
      <c r="V270" s="5"/>
      <c r="W270" s="5"/>
      <c r="X270" s="5"/>
      <c r="Y270" s="5"/>
      <c r="Z270" s="5"/>
    </row>
    <row r="271" customFormat="false" ht="13.5" hidden="false" customHeight="true" outlineLevel="0" collapsed="false">
      <c r="A271" s="39"/>
      <c r="B271" s="5"/>
      <c r="C271" s="5"/>
      <c r="D271" s="7"/>
      <c r="E271" s="7"/>
      <c r="F271" s="7"/>
      <c r="G271" s="7"/>
      <c r="H271" s="5"/>
      <c r="I271" s="42"/>
      <c r="J271" s="42"/>
      <c r="K271" s="5"/>
      <c r="L271" s="5"/>
      <c r="M271" s="5"/>
      <c r="N271" s="5"/>
      <c r="O271" s="5"/>
      <c r="P271" s="5"/>
      <c r="Q271" s="5"/>
      <c r="R271" s="5"/>
      <c r="S271" s="5"/>
      <c r="T271" s="5"/>
      <c r="U271" s="5"/>
      <c r="V271" s="5"/>
      <c r="W271" s="5"/>
      <c r="X271" s="5"/>
      <c r="Y271" s="5"/>
      <c r="Z271" s="5"/>
    </row>
    <row r="272" customFormat="false" ht="13.5" hidden="false" customHeight="true" outlineLevel="0" collapsed="false">
      <c r="A272" s="39"/>
      <c r="B272" s="5"/>
      <c r="C272" s="5"/>
      <c r="D272" s="7"/>
      <c r="E272" s="7"/>
      <c r="F272" s="7"/>
      <c r="G272" s="7"/>
      <c r="H272" s="5"/>
      <c r="I272" s="42"/>
      <c r="J272" s="42"/>
      <c r="K272" s="5"/>
      <c r="L272" s="5"/>
      <c r="M272" s="5"/>
      <c r="N272" s="5"/>
      <c r="O272" s="5"/>
      <c r="P272" s="5"/>
      <c r="Q272" s="5"/>
      <c r="R272" s="5"/>
      <c r="S272" s="5"/>
      <c r="T272" s="5"/>
      <c r="U272" s="5"/>
      <c r="V272" s="5"/>
      <c r="W272" s="5"/>
      <c r="X272" s="5"/>
      <c r="Y272" s="5"/>
      <c r="Z272" s="5"/>
    </row>
    <row r="273" customFormat="false" ht="13.5" hidden="false" customHeight="true" outlineLevel="0" collapsed="false">
      <c r="A273" s="39"/>
      <c r="B273" s="5"/>
      <c r="C273" s="5"/>
      <c r="D273" s="7"/>
      <c r="E273" s="7"/>
      <c r="F273" s="7"/>
      <c r="G273" s="7"/>
      <c r="H273" s="5"/>
      <c r="I273" s="42"/>
      <c r="J273" s="42"/>
      <c r="K273" s="5"/>
      <c r="L273" s="5"/>
      <c r="M273" s="5"/>
      <c r="N273" s="5"/>
      <c r="O273" s="5"/>
      <c r="P273" s="5"/>
      <c r="Q273" s="5"/>
      <c r="R273" s="5"/>
      <c r="S273" s="5"/>
      <c r="T273" s="5"/>
      <c r="U273" s="5"/>
      <c r="V273" s="5"/>
      <c r="W273" s="5"/>
      <c r="X273" s="5"/>
      <c r="Y273" s="5"/>
      <c r="Z273" s="5"/>
    </row>
    <row r="274" customFormat="false" ht="13.5" hidden="false" customHeight="true" outlineLevel="0" collapsed="false">
      <c r="A274" s="39"/>
      <c r="B274" s="5"/>
      <c r="C274" s="5"/>
      <c r="D274" s="7"/>
      <c r="E274" s="7"/>
      <c r="F274" s="7"/>
      <c r="G274" s="7"/>
      <c r="H274" s="5"/>
      <c r="I274" s="42"/>
      <c r="J274" s="42"/>
      <c r="K274" s="5"/>
      <c r="L274" s="5"/>
      <c r="M274" s="5"/>
      <c r="N274" s="5"/>
      <c r="O274" s="5"/>
      <c r="P274" s="5"/>
      <c r="Q274" s="5"/>
      <c r="R274" s="5"/>
      <c r="S274" s="5"/>
      <c r="T274" s="5"/>
      <c r="U274" s="5"/>
      <c r="V274" s="5"/>
      <c r="W274" s="5"/>
      <c r="X274" s="5"/>
      <c r="Y274" s="5"/>
      <c r="Z274" s="5"/>
    </row>
    <row r="275" customFormat="false" ht="13.5" hidden="false" customHeight="true" outlineLevel="0" collapsed="false">
      <c r="A275" s="39"/>
      <c r="B275" s="5"/>
      <c r="C275" s="5"/>
      <c r="D275" s="7"/>
      <c r="E275" s="7"/>
      <c r="F275" s="7"/>
      <c r="G275" s="7"/>
      <c r="H275" s="5"/>
      <c r="I275" s="42"/>
      <c r="J275" s="42"/>
      <c r="K275" s="5"/>
      <c r="L275" s="5"/>
      <c r="M275" s="5"/>
      <c r="N275" s="5"/>
      <c r="O275" s="5"/>
      <c r="P275" s="5"/>
      <c r="Q275" s="5"/>
      <c r="R275" s="5"/>
      <c r="S275" s="5"/>
      <c r="T275" s="5"/>
      <c r="U275" s="5"/>
      <c r="V275" s="5"/>
      <c r="W275" s="5"/>
      <c r="X275" s="5"/>
      <c r="Y275" s="5"/>
      <c r="Z275" s="5"/>
    </row>
    <row r="276" customFormat="false" ht="13.5" hidden="false" customHeight="true" outlineLevel="0" collapsed="false">
      <c r="A276" s="39"/>
      <c r="B276" s="5"/>
      <c r="C276" s="5"/>
      <c r="D276" s="7"/>
      <c r="E276" s="7"/>
      <c r="F276" s="7"/>
      <c r="G276" s="7"/>
      <c r="H276" s="5"/>
      <c r="I276" s="42"/>
      <c r="J276" s="42"/>
      <c r="K276" s="5"/>
      <c r="L276" s="5"/>
      <c r="M276" s="5"/>
      <c r="N276" s="5"/>
      <c r="O276" s="5"/>
      <c r="P276" s="5"/>
      <c r="Q276" s="5"/>
      <c r="R276" s="5"/>
      <c r="S276" s="5"/>
      <c r="T276" s="5"/>
      <c r="U276" s="5"/>
      <c r="V276" s="5"/>
      <c r="W276" s="5"/>
      <c r="X276" s="5"/>
      <c r="Y276" s="5"/>
      <c r="Z276" s="5"/>
    </row>
    <row r="277" customFormat="false" ht="13.5" hidden="false" customHeight="true" outlineLevel="0" collapsed="false">
      <c r="A277" s="39"/>
      <c r="B277" s="5"/>
      <c r="C277" s="5"/>
      <c r="D277" s="7"/>
      <c r="E277" s="7"/>
      <c r="F277" s="7"/>
      <c r="G277" s="7"/>
      <c r="H277" s="5"/>
      <c r="I277" s="42"/>
      <c r="J277" s="42"/>
      <c r="K277" s="5"/>
      <c r="L277" s="5"/>
      <c r="M277" s="5"/>
      <c r="N277" s="5"/>
      <c r="O277" s="5"/>
      <c r="P277" s="5"/>
      <c r="Q277" s="5"/>
      <c r="R277" s="5"/>
      <c r="S277" s="5"/>
      <c r="T277" s="5"/>
      <c r="U277" s="5"/>
      <c r="V277" s="5"/>
      <c r="W277" s="5"/>
      <c r="X277" s="5"/>
      <c r="Y277" s="5"/>
      <c r="Z277" s="5"/>
    </row>
    <row r="278" customFormat="false" ht="13.5" hidden="false" customHeight="true" outlineLevel="0" collapsed="false">
      <c r="A278" s="39"/>
      <c r="B278" s="5"/>
      <c r="C278" s="5"/>
      <c r="D278" s="7"/>
      <c r="E278" s="7"/>
      <c r="F278" s="7"/>
      <c r="G278" s="7"/>
      <c r="H278" s="5"/>
      <c r="I278" s="42"/>
      <c r="J278" s="42"/>
      <c r="K278" s="5"/>
      <c r="L278" s="5"/>
      <c r="M278" s="5"/>
      <c r="N278" s="5"/>
      <c r="O278" s="5"/>
      <c r="P278" s="5"/>
      <c r="Q278" s="5"/>
      <c r="R278" s="5"/>
      <c r="S278" s="5"/>
      <c r="T278" s="5"/>
      <c r="U278" s="5"/>
      <c r="V278" s="5"/>
      <c r="W278" s="5"/>
      <c r="X278" s="5"/>
      <c r="Y278" s="5"/>
      <c r="Z278" s="5"/>
    </row>
    <row r="279" customFormat="false" ht="13.5" hidden="false" customHeight="true" outlineLevel="0" collapsed="false">
      <c r="A279" s="39"/>
      <c r="B279" s="5"/>
      <c r="C279" s="5"/>
      <c r="D279" s="7"/>
      <c r="E279" s="7"/>
      <c r="F279" s="7"/>
      <c r="G279" s="7"/>
      <c r="H279" s="5"/>
      <c r="I279" s="42"/>
      <c r="J279" s="42"/>
      <c r="K279" s="5"/>
      <c r="L279" s="5"/>
      <c r="M279" s="5"/>
      <c r="N279" s="5"/>
      <c r="O279" s="5"/>
      <c r="P279" s="5"/>
      <c r="Q279" s="5"/>
      <c r="R279" s="5"/>
      <c r="S279" s="5"/>
      <c r="T279" s="5"/>
      <c r="U279" s="5"/>
      <c r="V279" s="5"/>
      <c r="W279" s="5"/>
      <c r="X279" s="5"/>
      <c r="Y279" s="5"/>
      <c r="Z279" s="5"/>
    </row>
    <row r="280" customFormat="false" ht="13.5" hidden="false" customHeight="true" outlineLevel="0" collapsed="false">
      <c r="A280" s="39"/>
      <c r="B280" s="5"/>
      <c r="C280" s="5"/>
      <c r="D280" s="7"/>
      <c r="E280" s="7"/>
      <c r="F280" s="7"/>
      <c r="G280" s="7"/>
      <c r="H280" s="5"/>
      <c r="I280" s="42"/>
      <c r="J280" s="42"/>
      <c r="K280" s="5"/>
      <c r="L280" s="5"/>
      <c r="M280" s="5"/>
      <c r="N280" s="5"/>
      <c r="O280" s="5"/>
      <c r="P280" s="5"/>
      <c r="Q280" s="5"/>
      <c r="R280" s="5"/>
      <c r="S280" s="5"/>
      <c r="T280" s="5"/>
      <c r="U280" s="5"/>
      <c r="V280" s="5"/>
      <c r="W280" s="5"/>
      <c r="X280" s="5"/>
      <c r="Y280" s="5"/>
      <c r="Z280" s="5"/>
    </row>
    <row r="281" customFormat="false" ht="13.5" hidden="false" customHeight="true" outlineLevel="0" collapsed="false">
      <c r="A281" s="39"/>
      <c r="B281" s="5"/>
      <c r="C281" s="5"/>
      <c r="D281" s="7"/>
      <c r="E281" s="7"/>
      <c r="F281" s="7"/>
      <c r="G281" s="7"/>
      <c r="H281" s="5"/>
      <c r="I281" s="42"/>
      <c r="J281" s="42"/>
      <c r="K281" s="5"/>
      <c r="L281" s="5"/>
      <c r="M281" s="5"/>
      <c r="N281" s="5"/>
      <c r="O281" s="5"/>
      <c r="P281" s="5"/>
      <c r="Q281" s="5"/>
      <c r="R281" s="5"/>
      <c r="S281" s="5"/>
      <c r="T281" s="5"/>
      <c r="U281" s="5"/>
      <c r="V281" s="5"/>
      <c r="W281" s="5"/>
      <c r="X281" s="5"/>
      <c r="Y281" s="5"/>
      <c r="Z281" s="5"/>
    </row>
    <row r="282" customFormat="false" ht="13.5" hidden="false" customHeight="true" outlineLevel="0" collapsed="false">
      <c r="A282" s="39"/>
      <c r="B282" s="5"/>
      <c r="C282" s="5"/>
      <c r="D282" s="7"/>
      <c r="E282" s="7"/>
      <c r="F282" s="7"/>
      <c r="G282" s="7"/>
      <c r="H282" s="5"/>
      <c r="I282" s="42"/>
      <c r="J282" s="42"/>
      <c r="K282" s="5"/>
      <c r="L282" s="5"/>
      <c r="M282" s="5"/>
      <c r="N282" s="5"/>
      <c r="O282" s="5"/>
      <c r="P282" s="5"/>
      <c r="Q282" s="5"/>
      <c r="R282" s="5"/>
      <c r="S282" s="5"/>
      <c r="T282" s="5"/>
      <c r="U282" s="5"/>
      <c r="V282" s="5"/>
      <c r="W282" s="5"/>
      <c r="X282" s="5"/>
      <c r="Y282" s="5"/>
      <c r="Z282" s="5"/>
    </row>
    <row r="283" customFormat="false" ht="13.5" hidden="false" customHeight="true" outlineLevel="0" collapsed="false">
      <c r="A283" s="39"/>
      <c r="B283" s="5"/>
      <c r="C283" s="5"/>
      <c r="D283" s="7"/>
      <c r="E283" s="7"/>
      <c r="F283" s="7"/>
      <c r="G283" s="7"/>
      <c r="H283" s="5"/>
      <c r="I283" s="42"/>
      <c r="J283" s="42"/>
      <c r="K283" s="5"/>
      <c r="L283" s="5"/>
      <c r="M283" s="5"/>
      <c r="N283" s="5"/>
      <c r="O283" s="5"/>
      <c r="P283" s="5"/>
      <c r="Q283" s="5"/>
      <c r="R283" s="5"/>
      <c r="S283" s="5"/>
      <c r="T283" s="5"/>
      <c r="U283" s="5"/>
      <c r="V283" s="5"/>
      <c r="W283" s="5"/>
      <c r="X283" s="5"/>
      <c r="Y283" s="5"/>
      <c r="Z283" s="5"/>
    </row>
    <row r="284" customFormat="false" ht="13.5" hidden="false" customHeight="true" outlineLevel="0" collapsed="false">
      <c r="A284" s="39"/>
      <c r="B284" s="5"/>
      <c r="C284" s="5"/>
      <c r="D284" s="7"/>
      <c r="E284" s="7"/>
      <c r="F284" s="7"/>
      <c r="G284" s="7"/>
      <c r="H284" s="5"/>
      <c r="I284" s="42"/>
      <c r="J284" s="42"/>
      <c r="K284" s="5"/>
      <c r="L284" s="5"/>
      <c r="M284" s="5"/>
      <c r="N284" s="5"/>
      <c r="O284" s="5"/>
      <c r="P284" s="5"/>
      <c r="Q284" s="5"/>
      <c r="R284" s="5"/>
      <c r="S284" s="5"/>
      <c r="T284" s="5"/>
      <c r="U284" s="5"/>
      <c r="V284" s="5"/>
      <c r="W284" s="5"/>
      <c r="X284" s="5"/>
      <c r="Y284" s="5"/>
      <c r="Z284" s="5"/>
    </row>
    <row r="285" customFormat="false" ht="13.5" hidden="false" customHeight="true" outlineLevel="0" collapsed="false">
      <c r="A285" s="39"/>
      <c r="B285" s="5"/>
      <c r="C285" s="5"/>
      <c r="D285" s="7"/>
      <c r="E285" s="7"/>
      <c r="F285" s="7"/>
      <c r="G285" s="7"/>
      <c r="H285" s="5"/>
      <c r="I285" s="42"/>
      <c r="J285" s="42"/>
      <c r="K285" s="5"/>
      <c r="L285" s="5"/>
      <c r="M285" s="5"/>
      <c r="N285" s="5"/>
      <c r="O285" s="5"/>
      <c r="P285" s="5"/>
      <c r="Q285" s="5"/>
      <c r="R285" s="5"/>
      <c r="S285" s="5"/>
      <c r="T285" s="5"/>
      <c r="U285" s="5"/>
      <c r="V285" s="5"/>
      <c r="W285" s="5"/>
      <c r="X285" s="5"/>
      <c r="Y285" s="5"/>
      <c r="Z285" s="5"/>
    </row>
    <row r="286" customFormat="false" ht="13.5" hidden="false" customHeight="true" outlineLevel="0" collapsed="false">
      <c r="A286" s="39"/>
      <c r="B286" s="5"/>
      <c r="C286" s="5"/>
      <c r="D286" s="7"/>
      <c r="E286" s="7"/>
      <c r="F286" s="7"/>
      <c r="G286" s="7"/>
      <c r="H286" s="5"/>
      <c r="I286" s="42"/>
      <c r="J286" s="42"/>
      <c r="K286" s="5"/>
      <c r="L286" s="5"/>
      <c r="M286" s="5"/>
      <c r="N286" s="5"/>
      <c r="O286" s="5"/>
      <c r="P286" s="5"/>
      <c r="Q286" s="5"/>
      <c r="R286" s="5"/>
      <c r="S286" s="5"/>
      <c r="T286" s="5"/>
      <c r="U286" s="5"/>
      <c r="V286" s="5"/>
      <c r="W286" s="5"/>
      <c r="X286" s="5"/>
      <c r="Y286" s="5"/>
      <c r="Z286" s="5"/>
    </row>
    <row r="287" customFormat="false" ht="13.5" hidden="false" customHeight="true" outlineLevel="0" collapsed="false">
      <c r="A287" s="39"/>
      <c r="B287" s="5"/>
      <c r="C287" s="5"/>
      <c r="D287" s="7"/>
      <c r="E287" s="7"/>
      <c r="F287" s="7"/>
      <c r="G287" s="7"/>
      <c r="H287" s="5"/>
      <c r="I287" s="42"/>
      <c r="J287" s="42"/>
      <c r="K287" s="5"/>
      <c r="L287" s="5"/>
      <c r="M287" s="5"/>
      <c r="N287" s="5"/>
      <c r="O287" s="5"/>
      <c r="P287" s="5"/>
      <c r="Q287" s="5"/>
      <c r="R287" s="5"/>
      <c r="S287" s="5"/>
      <c r="T287" s="5"/>
      <c r="U287" s="5"/>
      <c r="V287" s="5"/>
      <c r="W287" s="5"/>
      <c r="X287" s="5"/>
      <c r="Y287" s="5"/>
      <c r="Z287" s="5"/>
    </row>
    <row r="288" customFormat="false" ht="13.5" hidden="false" customHeight="true" outlineLevel="0" collapsed="false">
      <c r="A288" s="39"/>
      <c r="B288" s="5"/>
      <c r="C288" s="5"/>
      <c r="D288" s="7"/>
      <c r="E288" s="7"/>
      <c r="F288" s="7"/>
      <c r="G288" s="7"/>
      <c r="H288" s="5"/>
      <c r="I288" s="42"/>
      <c r="J288" s="42"/>
      <c r="K288" s="5"/>
      <c r="L288" s="5"/>
      <c r="M288" s="5"/>
      <c r="N288" s="5"/>
      <c r="O288" s="5"/>
      <c r="P288" s="5"/>
      <c r="Q288" s="5"/>
      <c r="R288" s="5"/>
      <c r="S288" s="5"/>
      <c r="T288" s="5"/>
      <c r="U288" s="5"/>
      <c r="V288" s="5"/>
      <c r="W288" s="5"/>
      <c r="X288" s="5"/>
      <c r="Y288" s="5"/>
      <c r="Z288" s="5"/>
    </row>
    <row r="289" customFormat="false" ht="13.5" hidden="false" customHeight="true" outlineLevel="0" collapsed="false">
      <c r="A289" s="39"/>
      <c r="B289" s="5"/>
      <c r="C289" s="5"/>
      <c r="D289" s="7"/>
      <c r="E289" s="7"/>
      <c r="F289" s="7"/>
      <c r="G289" s="7"/>
      <c r="H289" s="5"/>
      <c r="I289" s="42"/>
      <c r="J289" s="42"/>
      <c r="K289" s="5"/>
      <c r="L289" s="5"/>
      <c r="M289" s="5"/>
      <c r="N289" s="5"/>
      <c r="O289" s="5"/>
      <c r="P289" s="5"/>
      <c r="Q289" s="5"/>
      <c r="R289" s="5"/>
      <c r="S289" s="5"/>
      <c r="T289" s="5"/>
      <c r="U289" s="5"/>
      <c r="V289" s="5"/>
      <c r="W289" s="5"/>
      <c r="X289" s="5"/>
      <c r="Y289" s="5"/>
      <c r="Z289" s="5"/>
    </row>
    <row r="290" customFormat="false" ht="13.5" hidden="false" customHeight="true" outlineLevel="0" collapsed="false">
      <c r="A290" s="39"/>
      <c r="B290" s="5"/>
      <c r="C290" s="5"/>
      <c r="D290" s="7"/>
      <c r="E290" s="7"/>
      <c r="F290" s="7"/>
      <c r="G290" s="7"/>
      <c r="H290" s="5"/>
      <c r="I290" s="42"/>
      <c r="J290" s="42"/>
      <c r="K290" s="5"/>
      <c r="L290" s="5"/>
      <c r="M290" s="5"/>
      <c r="N290" s="5"/>
      <c r="O290" s="5"/>
      <c r="P290" s="5"/>
      <c r="Q290" s="5"/>
      <c r="R290" s="5"/>
      <c r="S290" s="5"/>
      <c r="T290" s="5"/>
      <c r="U290" s="5"/>
      <c r="V290" s="5"/>
      <c r="W290" s="5"/>
      <c r="X290" s="5"/>
      <c r="Y290" s="5"/>
      <c r="Z290" s="5"/>
    </row>
    <row r="291" customFormat="false" ht="13.5" hidden="false" customHeight="true" outlineLevel="0" collapsed="false">
      <c r="A291" s="39"/>
      <c r="B291" s="5"/>
      <c r="C291" s="5"/>
      <c r="D291" s="7"/>
      <c r="E291" s="7"/>
      <c r="F291" s="7"/>
      <c r="G291" s="7"/>
      <c r="H291" s="5"/>
      <c r="I291" s="42"/>
      <c r="J291" s="42"/>
      <c r="K291" s="5"/>
      <c r="L291" s="5"/>
      <c r="M291" s="5"/>
      <c r="N291" s="5"/>
      <c r="O291" s="5"/>
      <c r="P291" s="5"/>
      <c r="Q291" s="5"/>
      <c r="R291" s="5"/>
      <c r="S291" s="5"/>
      <c r="T291" s="5"/>
      <c r="U291" s="5"/>
      <c r="V291" s="5"/>
      <c r="W291" s="5"/>
      <c r="X291" s="5"/>
      <c r="Y291" s="5"/>
      <c r="Z291" s="5"/>
    </row>
    <row r="292" customFormat="false" ht="13.5" hidden="false" customHeight="true" outlineLevel="0" collapsed="false">
      <c r="A292" s="39"/>
      <c r="B292" s="5"/>
      <c r="C292" s="5"/>
      <c r="D292" s="7"/>
      <c r="E292" s="7"/>
      <c r="F292" s="7"/>
      <c r="G292" s="7"/>
      <c r="H292" s="5"/>
      <c r="I292" s="42"/>
      <c r="J292" s="42"/>
      <c r="K292" s="5"/>
      <c r="L292" s="5"/>
      <c r="M292" s="5"/>
      <c r="N292" s="5"/>
      <c r="O292" s="5"/>
      <c r="P292" s="5"/>
      <c r="Q292" s="5"/>
      <c r="R292" s="5"/>
      <c r="S292" s="5"/>
      <c r="T292" s="5"/>
      <c r="U292" s="5"/>
      <c r="V292" s="5"/>
      <c r="W292" s="5"/>
      <c r="X292" s="5"/>
      <c r="Y292" s="5"/>
      <c r="Z292" s="5"/>
    </row>
    <row r="293" customFormat="false" ht="13.5" hidden="false" customHeight="true" outlineLevel="0" collapsed="false">
      <c r="A293" s="39"/>
      <c r="B293" s="5"/>
      <c r="C293" s="5"/>
      <c r="D293" s="7"/>
      <c r="E293" s="7"/>
      <c r="F293" s="7"/>
      <c r="G293" s="7"/>
      <c r="H293" s="5"/>
      <c r="I293" s="42"/>
      <c r="J293" s="42"/>
      <c r="K293" s="5"/>
      <c r="L293" s="5"/>
      <c r="M293" s="5"/>
      <c r="N293" s="5"/>
      <c r="O293" s="5"/>
      <c r="P293" s="5"/>
      <c r="Q293" s="5"/>
      <c r="R293" s="5"/>
      <c r="S293" s="5"/>
      <c r="T293" s="5"/>
      <c r="U293" s="5"/>
      <c r="V293" s="5"/>
      <c r="W293" s="5"/>
      <c r="X293" s="5"/>
      <c r="Y293" s="5"/>
      <c r="Z293" s="5"/>
    </row>
    <row r="294" customFormat="false" ht="13.5" hidden="false" customHeight="true" outlineLevel="0" collapsed="false">
      <c r="A294" s="39"/>
      <c r="B294" s="5"/>
      <c r="C294" s="5"/>
      <c r="D294" s="7"/>
      <c r="E294" s="7"/>
      <c r="F294" s="7"/>
      <c r="G294" s="7"/>
      <c r="H294" s="5"/>
      <c r="I294" s="42"/>
      <c r="J294" s="42"/>
      <c r="K294" s="5"/>
      <c r="L294" s="5"/>
      <c r="M294" s="5"/>
      <c r="N294" s="5"/>
      <c r="O294" s="5"/>
      <c r="P294" s="5"/>
      <c r="Q294" s="5"/>
      <c r="R294" s="5"/>
      <c r="S294" s="5"/>
      <c r="T294" s="5"/>
      <c r="U294" s="5"/>
      <c r="V294" s="5"/>
      <c r="W294" s="5"/>
      <c r="X294" s="5"/>
      <c r="Y294" s="5"/>
      <c r="Z294" s="5"/>
    </row>
    <row r="295" customFormat="false" ht="13.5" hidden="false" customHeight="true" outlineLevel="0" collapsed="false">
      <c r="A295" s="39"/>
      <c r="B295" s="5"/>
      <c r="C295" s="5"/>
      <c r="D295" s="7"/>
      <c r="E295" s="7"/>
      <c r="F295" s="7"/>
      <c r="G295" s="7"/>
      <c r="H295" s="5"/>
      <c r="I295" s="42"/>
      <c r="J295" s="42"/>
      <c r="K295" s="5"/>
      <c r="L295" s="5"/>
      <c r="M295" s="5"/>
      <c r="N295" s="5"/>
      <c r="O295" s="5"/>
      <c r="P295" s="5"/>
      <c r="Q295" s="5"/>
      <c r="R295" s="5"/>
      <c r="S295" s="5"/>
      <c r="T295" s="5"/>
      <c r="U295" s="5"/>
      <c r="V295" s="5"/>
      <c r="W295" s="5"/>
      <c r="X295" s="5"/>
      <c r="Y295" s="5"/>
      <c r="Z295" s="5"/>
    </row>
    <row r="296" customFormat="false" ht="13.5" hidden="false" customHeight="true" outlineLevel="0" collapsed="false">
      <c r="A296" s="39"/>
      <c r="B296" s="5"/>
      <c r="C296" s="5"/>
      <c r="D296" s="7"/>
      <c r="E296" s="7"/>
      <c r="F296" s="7"/>
      <c r="G296" s="7"/>
      <c r="H296" s="5"/>
      <c r="I296" s="42"/>
      <c r="J296" s="42"/>
      <c r="K296" s="5"/>
      <c r="L296" s="5"/>
      <c r="M296" s="5"/>
      <c r="N296" s="5"/>
      <c r="O296" s="5"/>
      <c r="P296" s="5"/>
      <c r="Q296" s="5"/>
      <c r="R296" s="5"/>
      <c r="S296" s="5"/>
      <c r="T296" s="5"/>
      <c r="U296" s="5"/>
      <c r="V296" s="5"/>
      <c r="W296" s="5"/>
      <c r="X296" s="5"/>
      <c r="Y296" s="5"/>
      <c r="Z296" s="5"/>
    </row>
    <row r="297" customFormat="false" ht="13.5" hidden="false" customHeight="true" outlineLevel="0" collapsed="false">
      <c r="A297" s="39"/>
      <c r="B297" s="5"/>
      <c r="C297" s="5"/>
      <c r="D297" s="7"/>
      <c r="E297" s="7"/>
      <c r="F297" s="7"/>
      <c r="G297" s="7"/>
      <c r="H297" s="5"/>
      <c r="I297" s="42"/>
      <c r="J297" s="42"/>
      <c r="K297" s="5"/>
      <c r="L297" s="5"/>
      <c r="M297" s="5"/>
      <c r="N297" s="5"/>
      <c r="O297" s="5"/>
      <c r="P297" s="5"/>
      <c r="Q297" s="5"/>
      <c r="R297" s="5"/>
      <c r="S297" s="5"/>
      <c r="T297" s="5"/>
      <c r="U297" s="5"/>
      <c r="V297" s="5"/>
      <c r="W297" s="5"/>
      <c r="X297" s="5"/>
      <c r="Y297" s="5"/>
      <c r="Z297" s="5"/>
    </row>
    <row r="298" customFormat="false" ht="13.5" hidden="false" customHeight="true" outlineLevel="0" collapsed="false">
      <c r="A298" s="39"/>
      <c r="B298" s="5"/>
      <c r="C298" s="5"/>
      <c r="D298" s="7"/>
      <c r="E298" s="7"/>
      <c r="F298" s="7"/>
      <c r="G298" s="7"/>
      <c r="H298" s="5"/>
      <c r="I298" s="42"/>
      <c r="J298" s="42"/>
      <c r="K298" s="5"/>
      <c r="L298" s="5"/>
      <c r="M298" s="5"/>
      <c r="N298" s="5"/>
      <c r="O298" s="5"/>
      <c r="P298" s="5"/>
      <c r="Q298" s="5"/>
      <c r="R298" s="5"/>
      <c r="S298" s="5"/>
      <c r="T298" s="5"/>
      <c r="U298" s="5"/>
      <c r="V298" s="5"/>
      <c r="W298" s="5"/>
      <c r="X298" s="5"/>
      <c r="Y298" s="5"/>
      <c r="Z298" s="5"/>
    </row>
    <row r="299" customFormat="false" ht="13.5" hidden="false" customHeight="true" outlineLevel="0" collapsed="false">
      <c r="A299" s="39"/>
      <c r="B299" s="5"/>
      <c r="C299" s="5"/>
      <c r="D299" s="7"/>
      <c r="E299" s="7"/>
      <c r="F299" s="7"/>
      <c r="G299" s="7"/>
      <c r="H299" s="5"/>
      <c r="I299" s="42"/>
      <c r="J299" s="42"/>
      <c r="K299" s="5"/>
      <c r="L299" s="5"/>
      <c r="M299" s="5"/>
      <c r="N299" s="5"/>
      <c r="O299" s="5"/>
      <c r="P299" s="5"/>
      <c r="Q299" s="5"/>
      <c r="R299" s="5"/>
      <c r="S299" s="5"/>
      <c r="T299" s="5"/>
      <c r="U299" s="5"/>
      <c r="V299" s="5"/>
      <c r="W299" s="5"/>
      <c r="X299" s="5"/>
      <c r="Y299" s="5"/>
      <c r="Z299" s="5"/>
    </row>
    <row r="300" customFormat="false" ht="13.5" hidden="false" customHeight="true" outlineLevel="0" collapsed="false">
      <c r="A300" s="39"/>
      <c r="B300" s="5"/>
      <c r="C300" s="5"/>
      <c r="D300" s="7"/>
      <c r="E300" s="7"/>
      <c r="F300" s="7"/>
      <c r="G300" s="7"/>
      <c r="H300" s="5"/>
      <c r="I300" s="42"/>
      <c r="J300" s="42"/>
      <c r="K300" s="5"/>
      <c r="L300" s="5"/>
      <c r="M300" s="5"/>
      <c r="N300" s="5"/>
      <c r="O300" s="5"/>
      <c r="P300" s="5"/>
      <c r="Q300" s="5"/>
      <c r="R300" s="5"/>
      <c r="S300" s="5"/>
      <c r="T300" s="5"/>
      <c r="U300" s="5"/>
      <c r="V300" s="5"/>
      <c r="W300" s="5"/>
      <c r="X300" s="5"/>
      <c r="Y300" s="5"/>
      <c r="Z300" s="5"/>
    </row>
    <row r="301" customFormat="false" ht="13.5" hidden="false" customHeight="true" outlineLevel="0" collapsed="false">
      <c r="A301" s="39"/>
      <c r="B301" s="5"/>
      <c r="C301" s="5"/>
      <c r="D301" s="7"/>
      <c r="E301" s="7"/>
      <c r="F301" s="7"/>
      <c r="G301" s="7"/>
      <c r="H301" s="5"/>
      <c r="I301" s="42"/>
      <c r="J301" s="42"/>
      <c r="K301" s="5"/>
      <c r="L301" s="5"/>
      <c r="M301" s="5"/>
      <c r="N301" s="5"/>
      <c r="O301" s="5"/>
      <c r="P301" s="5"/>
      <c r="Q301" s="5"/>
      <c r="R301" s="5"/>
      <c r="S301" s="5"/>
      <c r="T301" s="5"/>
      <c r="U301" s="5"/>
      <c r="V301" s="5"/>
      <c r="W301" s="5"/>
      <c r="X301" s="5"/>
      <c r="Y301" s="5"/>
      <c r="Z301" s="5"/>
    </row>
    <row r="302" customFormat="false" ht="13.5" hidden="false" customHeight="true" outlineLevel="0" collapsed="false">
      <c r="A302" s="39"/>
      <c r="B302" s="5"/>
      <c r="C302" s="5"/>
      <c r="D302" s="7"/>
      <c r="E302" s="7"/>
      <c r="F302" s="7"/>
      <c r="G302" s="7"/>
      <c r="H302" s="5"/>
      <c r="I302" s="42"/>
      <c r="J302" s="42"/>
      <c r="K302" s="5"/>
      <c r="L302" s="5"/>
      <c r="M302" s="5"/>
      <c r="N302" s="5"/>
      <c r="O302" s="5"/>
      <c r="P302" s="5"/>
      <c r="Q302" s="5"/>
      <c r="R302" s="5"/>
      <c r="S302" s="5"/>
      <c r="T302" s="5"/>
      <c r="U302" s="5"/>
      <c r="V302" s="5"/>
      <c r="W302" s="5"/>
      <c r="X302" s="5"/>
      <c r="Y302" s="5"/>
      <c r="Z302" s="5"/>
    </row>
    <row r="303" customFormat="false" ht="13.5" hidden="false" customHeight="true" outlineLevel="0" collapsed="false">
      <c r="A303" s="39"/>
      <c r="B303" s="5"/>
      <c r="C303" s="5"/>
      <c r="D303" s="7"/>
      <c r="E303" s="7"/>
      <c r="F303" s="7"/>
      <c r="G303" s="7"/>
      <c r="H303" s="5"/>
      <c r="I303" s="42"/>
      <c r="J303" s="42"/>
      <c r="K303" s="5"/>
      <c r="L303" s="5"/>
      <c r="M303" s="5"/>
      <c r="N303" s="5"/>
      <c r="O303" s="5"/>
      <c r="P303" s="5"/>
      <c r="Q303" s="5"/>
      <c r="R303" s="5"/>
      <c r="S303" s="5"/>
      <c r="T303" s="5"/>
      <c r="U303" s="5"/>
      <c r="V303" s="5"/>
      <c r="W303" s="5"/>
      <c r="X303" s="5"/>
      <c r="Y303" s="5"/>
      <c r="Z303" s="5"/>
    </row>
    <row r="304" customFormat="false" ht="13.5" hidden="false" customHeight="true" outlineLevel="0" collapsed="false">
      <c r="A304" s="39"/>
      <c r="B304" s="5"/>
      <c r="C304" s="5"/>
      <c r="D304" s="7"/>
      <c r="E304" s="7"/>
      <c r="F304" s="7"/>
      <c r="G304" s="7"/>
      <c r="H304" s="5"/>
      <c r="I304" s="42"/>
      <c r="J304" s="42"/>
      <c r="K304" s="5"/>
      <c r="L304" s="5"/>
      <c r="M304" s="5"/>
      <c r="N304" s="5"/>
      <c r="O304" s="5"/>
      <c r="P304" s="5"/>
      <c r="Q304" s="5"/>
      <c r="R304" s="5"/>
      <c r="S304" s="5"/>
      <c r="T304" s="5"/>
      <c r="U304" s="5"/>
      <c r="V304" s="5"/>
      <c r="W304" s="5"/>
      <c r="X304" s="5"/>
      <c r="Y304" s="5"/>
      <c r="Z304" s="5"/>
    </row>
    <row r="305" customFormat="false" ht="13.5" hidden="false" customHeight="true" outlineLevel="0" collapsed="false">
      <c r="A305" s="39"/>
      <c r="B305" s="5"/>
      <c r="C305" s="5"/>
      <c r="D305" s="7"/>
      <c r="E305" s="7"/>
      <c r="F305" s="7"/>
      <c r="G305" s="7"/>
      <c r="H305" s="5"/>
      <c r="I305" s="42"/>
      <c r="J305" s="42"/>
      <c r="K305" s="5"/>
      <c r="L305" s="5"/>
      <c r="M305" s="5"/>
      <c r="N305" s="5"/>
      <c r="O305" s="5"/>
      <c r="P305" s="5"/>
      <c r="Q305" s="5"/>
      <c r="R305" s="5"/>
      <c r="S305" s="5"/>
      <c r="T305" s="5"/>
      <c r="U305" s="5"/>
      <c r="V305" s="5"/>
      <c r="W305" s="5"/>
      <c r="X305" s="5"/>
      <c r="Y305" s="5"/>
      <c r="Z305" s="5"/>
    </row>
    <row r="306" customFormat="false" ht="13.5" hidden="false" customHeight="true" outlineLevel="0" collapsed="false">
      <c r="A306" s="39"/>
      <c r="B306" s="5"/>
      <c r="C306" s="5"/>
      <c r="D306" s="7"/>
      <c r="E306" s="7"/>
      <c r="F306" s="7"/>
      <c r="G306" s="7"/>
      <c r="H306" s="5"/>
      <c r="I306" s="42"/>
      <c r="J306" s="42"/>
      <c r="K306" s="5"/>
      <c r="L306" s="5"/>
      <c r="M306" s="5"/>
      <c r="N306" s="5"/>
      <c r="O306" s="5"/>
      <c r="P306" s="5"/>
      <c r="Q306" s="5"/>
      <c r="R306" s="5"/>
      <c r="S306" s="5"/>
      <c r="T306" s="5"/>
      <c r="U306" s="5"/>
      <c r="V306" s="5"/>
      <c r="W306" s="5"/>
      <c r="X306" s="5"/>
      <c r="Y306" s="5"/>
      <c r="Z306" s="5"/>
    </row>
    <row r="307" customFormat="false" ht="13.5" hidden="false" customHeight="true" outlineLevel="0" collapsed="false">
      <c r="A307" s="39"/>
      <c r="B307" s="5"/>
      <c r="C307" s="5"/>
      <c r="D307" s="7"/>
      <c r="E307" s="7"/>
      <c r="F307" s="7"/>
      <c r="G307" s="7"/>
      <c r="H307" s="5"/>
      <c r="I307" s="42"/>
      <c r="J307" s="42"/>
      <c r="K307" s="5"/>
      <c r="L307" s="5"/>
      <c r="M307" s="5"/>
      <c r="N307" s="5"/>
      <c r="O307" s="5"/>
      <c r="P307" s="5"/>
      <c r="Q307" s="5"/>
      <c r="R307" s="5"/>
      <c r="S307" s="5"/>
      <c r="T307" s="5"/>
      <c r="U307" s="5"/>
      <c r="V307" s="5"/>
      <c r="W307" s="5"/>
      <c r="X307" s="5"/>
      <c r="Y307" s="5"/>
      <c r="Z307" s="5"/>
    </row>
    <row r="308" customFormat="false" ht="13.5" hidden="false" customHeight="true" outlineLevel="0" collapsed="false">
      <c r="A308" s="39"/>
      <c r="B308" s="5"/>
      <c r="C308" s="5"/>
      <c r="D308" s="7"/>
      <c r="E308" s="7"/>
      <c r="F308" s="7"/>
      <c r="G308" s="7"/>
      <c r="H308" s="5"/>
      <c r="I308" s="42"/>
      <c r="J308" s="42"/>
      <c r="K308" s="5"/>
      <c r="L308" s="5"/>
      <c r="M308" s="5"/>
      <c r="N308" s="5"/>
      <c r="O308" s="5"/>
      <c r="P308" s="5"/>
      <c r="Q308" s="5"/>
      <c r="R308" s="5"/>
      <c r="S308" s="5"/>
      <c r="T308" s="5"/>
      <c r="U308" s="5"/>
      <c r="V308" s="5"/>
      <c r="W308" s="5"/>
      <c r="X308" s="5"/>
      <c r="Y308" s="5"/>
      <c r="Z308" s="5"/>
    </row>
    <row r="309" customFormat="false" ht="13.5" hidden="false" customHeight="true" outlineLevel="0" collapsed="false">
      <c r="A309" s="39"/>
      <c r="B309" s="5"/>
      <c r="C309" s="5"/>
      <c r="D309" s="7"/>
      <c r="E309" s="7"/>
      <c r="F309" s="7"/>
      <c r="G309" s="7"/>
      <c r="H309" s="5"/>
      <c r="I309" s="42"/>
      <c r="J309" s="42"/>
      <c r="K309" s="5"/>
      <c r="L309" s="5"/>
      <c r="M309" s="5"/>
      <c r="N309" s="5"/>
      <c r="O309" s="5"/>
      <c r="P309" s="5"/>
      <c r="Q309" s="5"/>
      <c r="R309" s="5"/>
      <c r="S309" s="5"/>
      <c r="T309" s="5"/>
      <c r="U309" s="5"/>
      <c r="V309" s="5"/>
      <c r="W309" s="5"/>
      <c r="X309" s="5"/>
      <c r="Y309" s="5"/>
      <c r="Z309" s="5"/>
    </row>
    <row r="310" customFormat="false" ht="13.5" hidden="false" customHeight="true" outlineLevel="0" collapsed="false">
      <c r="A310" s="39"/>
      <c r="B310" s="5"/>
      <c r="C310" s="5"/>
      <c r="D310" s="7"/>
      <c r="E310" s="7"/>
      <c r="F310" s="7"/>
      <c r="G310" s="7"/>
      <c r="H310" s="5"/>
      <c r="I310" s="42"/>
      <c r="J310" s="42"/>
      <c r="K310" s="5"/>
      <c r="L310" s="5"/>
      <c r="M310" s="5"/>
      <c r="N310" s="5"/>
      <c r="O310" s="5"/>
      <c r="P310" s="5"/>
      <c r="Q310" s="5"/>
      <c r="R310" s="5"/>
      <c r="S310" s="5"/>
      <c r="T310" s="5"/>
      <c r="U310" s="5"/>
      <c r="V310" s="5"/>
      <c r="W310" s="5"/>
      <c r="X310" s="5"/>
      <c r="Y310" s="5"/>
      <c r="Z310" s="5"/>
    </row>
    <row r="311" customFormat="false" ht="13.5" hidden="false" customHeight="true" outlineLevel="0" collapsed="false">
      <c r="A311" s="39"/>
      <c r="B311" s="5"/>
      <c r="C311" s="5"/>
      <c r="D311" s="7"/>
      <c r="E311" s="7"/>
      <c r="F311" s="7"/>
      <c r="G311" s="7"/>
      <c r="H311" s="5"/>
      <c r="I311" s="42"/>
      <c r="J311" s="42"/>
      <c r="K311" s="5"/>
      <c r="L311" s="5"/>
      <c r="M311" s="5"/>
      <c r="N311" s="5"/>
      <c r="O311" s="5"/>
      <c r="P311" s="5"/>
      <c r="Q311" s="5"/>
      <c r="R311" s="5"/>
      <c r="S311" s="5"/>
      <c r="T311" s="5"/>
      <c r="U311" s="5"/>
      <c r="V311" s="5"/>
      <c r="W311" s="5"/>
      <c r="X311" s="5"/>
      <c r="Y311" s="5"/>
      <c r="Z311" s="5"/>
    </row>
    <row r="312" customFormat="false" ht="13.5" hidden="false" customHeight="true" outlineLevel="0" collapsed="false">
      <c r="A312" s="39"/>
      <c r="B312" s="5"/>
      <c r="C312" s="5"/>
      <c r="D312" s="7"/>
      <c r="E312" s="7"/>
      <c r="F312" s="7"/>
      <c r="G312" s="7"/>
      <c r="H312" s="5"/>
      <c r="I312" s="42"/>
      <c r="J312" s="42"/>
      <c r="K312" s="5"/>
      <c r="L312" s="5"/>
      <c r="M312" s="5"/>
      <c r="N312" s="5"/>
      <c r="O312" s="5"/>
      <c r="P312" s="5"/>
      <c r="Q312" s="5"/>
      <c r="R312" s="5"/>
      <c r="S312" s="5"/>
      <c r="T312" s="5"/>
      <c r="U312" s="5"/>
      <c r="V312" s="5"/>
      <c r="W312" s="5"/>
      <c r="X312" s="5"/>
      <c r="Y312" s="5"/>
      <c r="Z312" s="5"/>
    </row>
    <row r="313" customFormat="false" ht="13.5" hidden="false" customHeight="true" outlineLevel="0" collapsed="false">
      <c r="A313" s="39"/>
      <c r="B313" s="5"/>
      <c r="C313" s="5"/>
      <c r="D313" s="7"/>
      <c r="E313" s="7"/>
      <c r="F313" s="7"/>
      <c r="G313" s="7"/>
      <c r="H313" s="5"/>
      <c r="I313" s="42"/>
      <c r="J313" s="42"/>
      <c r="K313" s="5"/>
      <c r="L313" s="5"/>
      <c r="M313" s="5"/>
      <c r="N313" s="5"/>
      <c r="O313" s="5"/>
      <c r="P313" s="5"/>
      <c r="Q313" s="5"/>
      <c r="R313" s="5"/>
      <c r="S313" s="5"/>
      <c r="T313" s="5"/>
      <c r="U313" s="5"/>
      <c r="V313" s="5"/>
      <c r="W313" s="5"/>
      <c r="X313" s="5"/>
      <c r="Y313" s="5"/>
      <c r="Z313" s="5"/>
    </row>
    <row r="314" customFormat="false" ht="13.5" hidden="false" customHeight="true" outlineLevel="0" collapsed="false">
      <c r="A314" s="39"/>
      <c r="B314" s="5"/>
      <c r="C314" s="5"/>
      <c r="D314" s="7"/>
      <c r="E314" s="7"/>
      <c r="F314" s="7"/>
      <c r="G314" s="7"/>
      <c r="H314" s="5"/>
      <c r="I314" s="42"/>
      <c r="J314" s="42"/>
      <c r="K314" s="5"/>
      <c r="L314" s="5"/>
      <c r="M314" s="5"/>
      <c r="N314" s="5"/>
      <c r="O314" s="5"/>
      <c r="P314" s="5"/>
      <c r="Q314" s="5"/>
      <c r="R314" s="5"/>
      <c r="S314" s="5"/>
      <c r="T314" s="5"/>
      <c r="U314" s="5"/>
      <c r="V314" s="5"/>
      <c r="W314" s="5"/>
      <c r="X314" s="5"/>
      <c r="Y314" s="5"/>
      <c r="Z314" s="5"/>
    </row>
    <row r="315" customFormat="false" ht="13.5" hidden="false" customHeight="true" outlineLevel="0" collapsed="false">
      <c r="A315" s="39"/>
      <c r="B315" s="5"/>
      <c r="C315" s="5"/>
      <c r="D315" s="7"/>
      <c r="E315" s="7"/>
      <c r="F315" s="7"/>
      <c r="G315" s="7"/>
      <c r="H315" s="5"/>
      <c r="I315" s="42"/>
      <c r="J315" s="42"/>
      <c r="K315" s="5"/>
      <c r="L315" s="5"/>
      <c r="M315" s="5"/>
      <c r="N315" s="5"/>
      <c r="O315" s="5"/>
      <c r="P315" s="5"/>
      <c r="Q315" s="5"/>
      <c r="R315" s="5"/>
      <c r="S315" s="5"/>
      <c r="T315" s="5"/>
      <c r="U315" s="5"/>
      <c r="V315" s="5"/>
      <c r="W315" s="5"/>
      <c r="X315" s="5"/>
      <c r="Y315" s="5"/>
      <c r="Z315" s="5"/>
    </row>
    <row r="316" customFormat="false" ht="13.5" hidden="false" customHeight="true" outlineLevel="0" collapsed="false">
      <c r="A316" s="39"/>
      <c r="B316" s="5"/>
      <c r="C316" s="5"/>
      <c r="D316" s="7"/>
      <c r="E316" s="7"/>
      <c r="F316" s="7"/>
      <c r="G316" s="7"/>
      <c r="H316" s="5"/>
      <c r="I316" s="42"/>
      <c r="J316" s="42"/>
      <c r="K316" s="5"/>
      <c r="L316" s="5"/>
      <c r="M316" s="5"/>
      <c r="N316" s="5"/>
      <c r="O316" s="5"/>
      <c r="P316" s="5"/>
      <c r="Q316" s="5"/>
      <c r="R316" s="5"/>
      <c r="S316" s="5"/>
      <c r="T316" s="5"/>
      <c r="U316" s="5"/>
      <c r="V316" s="5"/>
      <c r="W316" s="5"/>
      <c r="X316" s="5"/>
      <c r="Y316" s="5"/>
      <c r="Z316" s="5"/>
    </row>
    <row r="317" customFormat="false" ht="13.5" hidden="false" customHeight="true" outlineLevel="0" collapsed="false">
      <c r="A317" s="39"/>
      <c r="B317" s="5"/>
      <c r="C317" s="5"/>
      <c r="D317" s="7"/>
      <c r="E317" s="7"/>
      <c r="F317" s="7"/>
      <c r="G317" s="7"/>
      <c r="H317" s="5"/>
      <c r="I317" s="42"/>
      <c r="J317" s="42"/>
      <c r="K317" s="5"/>
      <c r="L317" s="5"/>
      <c r="M317" s="5"/>
      <c r="N317" s="5"/>
      <c r="O317" s="5"/>
      <c r="P317" s="5"/>
      <c r="Q317" s="5"/>
      <c r="R317" s="5"/>
      <c r="S317" s="5"/>
      <c r="T317" s="5"/>
      <c r="U317" s="5"/>
      <c r="V317" s="5"/>
      <c r="W317" s="5"/>
      <c r="X317" s="5"/>
      <c r="Y317" s="5"/>
      <c r="Z317" s="5"/>
    </row>
    <row r="318" customFormat="false" ht="13.5" hidden="false" customHeight="true" outlineLevel="0" collapsed="false">
      <c r="A318" s="39"/>
      <c r="B318" s="5"/>
      <c r="C318" s="5"/>
      <c r="D318" s="7"/>
      <c r="E318" s="7"/>
      <c r="F318" s="7"/>
      <c r="G318" s="7"/>
      <c r="H318" s="5"/>
      <c r="I318" s="42"/>
      <c r="J318" s="42"/>
      <c r="K318" s="5"/>
      <c r="L318" s="5"/>
      <c r="M318" s="5"/>
      <c r="N318" s="5"/>
      <c r="O318" s="5"/>
      <c r="P318" s="5"/>
      <c r="Q318" s="5"/>
      <c r="R318" s="5"/>
      <c r="S318" s="5"/>
      <c r="T318" s="5"/>
      <c r="U318" s="5"/>
      <c r="V318" s="5"/>
      <c r="W318" s="5"/>
      <c r="X318" s="5"/>
      <c r="Y318" s="5"/>
      <c r="Z318" s="5"/>
    </row>
    <row r="319" customFormat="false" ht="13.5" hidden="false" customHeight="true" outlineLevel="0" collapsed="false">
      <c r="A319" s="39"/>
      <c r="B319" s="5"/>
      <c r="C319" s="5"/>
      <c r="D319" s="7"/>
      <c r="E319" s="7"/>
      <c r="F319" s="7"/>
      <c r="G319" s="7"/>
      <c r="H319" s="5"/>
      <c r="I319" s="42"/>
      <c r="J319" s="42"/>
      <c r="K319" s="5"/>
      <c r="L319" s="5"/>
      <c r="M319" s="5"/>
      <c r="N319" s="5"/>
      <c r="O319" s="5"/>
      <c r="P319" s="5"/>
      <c r="Q319" s="5"/>
      <c r="R319" s="5"/>
      <c r="S319" s="5"/>
      <c r="T319" s="5"/>
      <c r="U319" s="5"/>
      <c r="V319" s="5"/>
      <c r="W319" s="5"/>
      <c r="X319" s="5"/>
      <c r="Y319" s="5"/>
      <c r="Z319" s="5"/>
    </row>
    <row r="320" customFormat="false" ht="13.5" hidden="false" customHeight="true" outlineLevel="0" collapsed="false">
      <c r="A320" s="39"/>
      <c r="B320" s="5"/>
      <c r="C320" s="5"/>
      <c r="D320" s="7"/>
      <c r="E320" s="7"/>
      <c r="F320" s="7"/>
      <c r="G320" s="7"/>
      <c r="H320" s="5"/>
      <c r="I320" s="42"/>
      <c r="J320" s="42"/>
      <c r="K320" s="5"/>
      <c r="L320" s="5"/>
      <c r="M320" s="5"/>
      <c r="N320" s="5"/>
      <c r="O320" s="5"/>
      <c r="P320" s="5"/>
      <c r="Q320" s="5"/>
      <c r="R320" s="5"/>
      <c r="S320" s="5"/>
      <c r="T320" s="5"/>
      <c r="U320" s="5"/>
      <c r="V320" s="5"/>
      <c r="W320" s="5"/>
      <c r="X320" s="5"/>
      <c r="Y320" s="5"/>
      <c r="Z320" s="5"/>
    </row>
    <row r="321" customFormat="false" ht="13.5" hidden="false" customHeight="true" outlineLevel="0" collapsed="false">
      <c r="A321" s="39"/>
      <c r="B321" s="5"/>
      <c r="C321" s="5"/>
      <c r="D321" s="7"/>
      <c r="E321" s="7"/>
      <c r="F321" s="7"/>
      <c r="G321" s="7"/>
      <c r="H321" s="5"/>
      <c r="I321" s="42"/>
      <c r="J321" s="42"/>
      <c r="K321" s="5"/>
      <c r="L321" s="5"/>
      <c r="M321" s="5"/>
      <c r="N321" s="5"/>
      <c r="O321" s="5"/>
      <c r="P321" s="5"/>
      <c r="Q321" s="5"/>
      <c r="R321" s="5"/>
      <c r="S321" s="5"/>
      <c r="T321" s="5"/>
      <c r="U321" s="5"/>
      <c r="V321" s="5"/>
      <c r="W321" s="5"/>
      <c r="X321" s="5"/>
      <c r="Y321" s="5"/>
      <c r="Z321" s="5"/>
    </row>
    <row r="322" customFormat="false" ht="13.5" hidden="false" customHeight="true" outlineLevel="0" collapsed="false">
      <c r="A322" s="39"/>
      <c r="B322" s="5"/>
      <c r="C322" s="5"/>
      <c r="D322" s="7"/>
      <c r="E322" s="7"/>
      <c r="F322" s="7"/>
      <c r="G322" s="7"/>
      <c r="H322" s="5"/>
      <c r="I322" s="42"/>
      <c r="J322" s="42"/>
      <c r="K322" s="5"/>
      <c r="L322" s="5"/>
      <c r="M322" s="5"/>
      <c r="N322" s="5"/>
      <c r="O322" s="5"/>
      <c r="P322" s="5"/>
      <c r="Q322" s="5"/>
      <c r="R322" s="5"/>
      <c r="S322" s="5"/>
      <c r="T322" s="5"/>
      <c r="U322" s="5"/>
      <c r="V322" s="5"/>
      <c r="W322" s="5"/>
      <c r="X322" s="5"/>
      <c r="Y322" s="5"/>
      <c r="Z322" s="5"/>
    </row>
    <row r="323" customFormat="false" ht="13.5" hidden="false" customHeight="true" outlineLevel="0" collapsed="false">
      <c r="A323" s="39"/>
      <c r="B323" s="5"/>
      <c r="C323" s="5"/>
      <c r="D323" s="7"/>
      <c r="E323" s="7"/>
      <c r="F323" s="7"/>
      <c r="G323" s="7"/>
      <c r="H323" s="5"/>
      <c r="I323" s="42"/>
      <c r="J323" s="42"/>
      <c r="K323" s="5"/>
      <c r="L323" s="5"/>
      <c r="M323" s="5"/>
      <c r="N323" s="5"/>
      <c r="O323" s="5"/>
      <c r="P323" s="5"/>
      <c r="Q323" s="5"/>
      <c r="R323" s="5"/>
      <c r="S323" s="5"/>
      <c r="T323" s="5"/>
      <c r="U323" s="5"/>
      <c r="V323" s="5"/>
      <c r="W323" s="5"/>
      <c r="X323" s="5"/>
      <c r="Y323" s="5"/>
      <c r="Z323" s="5"/>
    </row>
    <row r="324" customFormat="false" ht="13.5" hidden="false" customHeight="true" outlineLevel="0" collapsed="false">
      <c r="A324" s="39"/>
      <c r="B324" s="5"/>
      <c r="C324" s="5"/>
      <c r="D324" s="7"/>
      <c r="E324" s="7"/>
      <c r="F324" s="7"/>
      <c r="G324" s="7"/>
      <c r="H324" s="5"/>
      <c r="I324" s="42"/>
      <c r="J324" s="42"/>
      <c r="K324" s="5"/>
      <c r="L324" s="5"/>
      <c r="M324" s="5"/>
      <c r="N324" s="5"/>
      <c r="O324" s="5"/>
      <c r="P324" s="5"/>
      <c r="Q324" s="5"/>
      <c r="R324" s="5"/>
      <c r="S324" s="5"/>
      <c r="T324" s="5"/>
      <c r="U324" s="5"/>
      <c r="V324" s="5"/>
      <c r="W324" s="5"/>
      <c r="X324" s="5"/>
      <c r="Y324" s="5"/>
      <c r="Z324" s="5"/>
    </row>
    <row r="325" customFormat="false" ht="13.5" hidden="false" customHeight="true" outlineLevel="0" collapsed="false">
      <c r="A325" s="39"/>
      <c r="B325" s="5"/>
      <c r="C325" s="5"/>
      <c r="D325" s="7"/>
      <c r="E325" s="7"/>
      <c r="F325" s="7"/>
      <c r="G325" s="7"/>
      <c r="H325" s="5"/>
      <c r="I325" s="42"/>
      <c r="J325" s="42"/>
      <c r="K325" s="5"/>
      <c r="L325" s="5"/>
      <c r="M325" s="5"/>
      <c r="N325" s="5"/>
      <c r="O325" s="5"/>
      <c r="P325" s="5"/>
      <c r="Q325" s="5"/>
      <c r="R325" s="5"/>
      <c r="S325" s="5"/>
      <c r="T325" s="5"/>
      <c r="U325" s="5"/>
      <c r="V325" s="5"/>
      <c r="W325" s="5"/>
      <c r="X325" s="5"/>
      <c r="Y325" s="5"/>
      <c r="Z325" s="5"/>
    </row>
    <row r="326" customFormat="false" ht="13.5" hidden="false" customHeight="true" outlineLevel="0" collapsed="false">
      <c r="A326" s="39"/>
      <c r="B326" s="5"/>
      <c r="C326" s="5"/>
      <c r="D326" s="7"/>
      <c r="E326" s="7"/>
      <c r="F326" s="7"/>
      <c r="G326" s="7"/>
      <c r="H326" s="5"/>
      <c r="I326" s="42"/>
      <c r="J326" s="42"/>
      <c r="K326" s="5"/>
      <c r="L326" s="5"/>
      <c r="M326" s="5"/>
      <c r="N326" s="5"/>
      <c r="O326" s="5"/>
      <c r="P326" s="5"/>
      <c r="Q326" s="5"/>
      <c r="R326" s="5"/>
      <c r="S326" s="5"/>
      <c r="T326" s="5"/>
      <c r="U326" s="5"/>
      <c r="V326" s="5"/>
      <c r="W326" s="5"/>
      <c r="X326" s="5"/>
      <c r="Y326" s="5"/>
      <c r="Z326" s="5"/>
    </row>
    <row r="327" customFormat="false" ht="13.5" hidden="false" customHeight="true" outlineLevel="0" collapsed="false">
      <c r="A327" s="39"/>
      <c r="B327" s="5"/>
      <c r="C327" s="5"/>
      <c r="D327" s="7"/>
      <c r="E327" s="7"/>
      <c r="F327" s="7"/>
      <c r="G327" s="7"/>
      <c r="H327" s="5"/>
      <c r="I327" s="42"/>
      <c r="J327" s="42"/>
      <c r="K327" s="5"/>
      <c r="L327" s="5"/>
      <c r="M327" s="5"/>
      <c r="N327" s="5"/>
      <c r="O327" s="5"/>
      <c r="P327" s="5"/>
      <c r="Q327" s="5"/>
      <c r="R327" s="5"/>
      <c r="S327" s="5"/>
      <c r="T327" s="5"/>
      <c r="U327" s="5"/>
      <c r="V327" s="5"/>
      <c r="W327" s="5"/>
      <c r="X327" s="5"/>
      <c r="Y327" s="5"/>
      <c r="Z327" s="5"/>
    </row>
    <row r="328" customFormat="false" ht="13.5" hidden="false" customHeight="true" outlineLevel="0" collapsed="false">
      <c r="A328" s="39"/>
      <c r="B328" s="5"/>
      <c r="C328" s="5"/>
      <c r="D328" s="7"/>
      <c r="E328" s="7"/>
      <c r="F328" s="7"/>
      <c r="G328" s="7"/>
      <c r="H328" s="5"/>
      <c r="I328" s="42"/>
      <c r="J328" s="42"/>
      <c r="K328" s="5"/>
      <c r="L328" s="5"/>
      <c r="M328" s="5"/>
      <c r="N328" s="5"/>
      <c r="O328" s="5"/>
      <c r="P328" s="5"/>
      <c r="Q328" s="5"/>
      <c r="R328" s="5"/>
      <c r="S328" s="5"/>
      <c r="T328" s="5"/>
      <c r="U328" s="5"/>
      <c r="V328" s="5"/>
      <c r="W328" s="5"/>
      <c r="X328" s="5"/>
      <c r="Y328" s="5"/>
      <c r="Z328" s="5"/>
    </row>
    <row r="329" customFormat="false" ht="13.5" hidden="false" customHeight="true" outlineLevel="0" collapsed="false">
      <c r="A329" s="39"/>
      <c r="B329" s="5"/>
      <c r="C329" s="5"/>
      <c r="D329" s="7"/>
      <c r="E329" s="7"/>
      <c r="F329" s="7"/>
      <c r="G329" s="7"/>
      <c r="H329" s="5"/>
      <c r="I329" s="42"/>
      <c r="J329" s="42"/>
      <c r="K329" s="5"/>
      <c r="L329" s="5"/>
      <c r="M329" s="5"/>
      <c r="N329" s="5"/>
      <c r="O329" s="5"/>
      <c r="P329" s="5"/>
      <c r="Q329" s="5"/>
      <c r="R329" s="5"/>
      <c r="S329" s="5"/>
      <c r="T329" s="5"/>
      <c r="U329" s="5"/>
      <c r="V329" s="5"/>
      <c r="W329" s="5"/>
      <c r="X329" s="5"/>
      <c r="Y329" s="5"/>
      <c r="Z329" s="5"/>
    </row>
    <row r="330" customFormat="false" ht="13.5" hidden="false" customHeight="true" outlineLevel="0" collapsed="false">
      <c r="A330" s="39"/>
      <c r="B330" s="5"/>
      <c r="C330" s="5"/>
      <c r="D330" s="7"/>
      <c r="E330" s="7"/>
      <c r="F330" s="7"/>
      <c r="G330" s="7"/>
      <c r="H330" s="5"/>
      <c r="I330" s="42"/>
      <c r="J330" s="42"/>
      <c r="K330" s="5"/>
      <c r="L330" s="5"/>
      <c r="M330" s="5"/>
      <c r="N330" s="5"/>
      <c r="O330" s="5"/>
      <c r="P330" s="5"/>
      <c r="Q330" s="5"/>
      <c r="R330" s="5"/>
      <c r="S330" s="5"/>
      <c r="T330" s="5"/>
      <c r="U330" s="5"/>
      <c r="V330" s="5"/>
      <c r="W330" s="5"/>
      <c r="X330" s="5"/>
      <c r="Y330" s="5"/>
      <c r="Z330" s="5"/>
    </row>
    <row r="331" customFormat="false" ht="13.5" hidden="false" customHeight="true" outlineLevel="0" collapsed="false">
      <c r="A331" s="39"/>
      <c r="B331" s="5"/>
      <c r="C331" s="5"/>
      <c r="D331" s="7"/>
      <c r="E331" s="7"/>
      <c r="F331" s="7"/>
      <c r="G331" s="7"/>
      <c r="H331" s="5"/>
      <c r="I331" s="42"/>
      <c r="J331" s="42"/>
      <c r="K331" s="5"/>
      <c r="L331" s="5"/>
      <c r="M331" s="5"/>
      <c r="N331" s="5"/>
      <c r="O331" s="5"/>
      <c r="P331" s="5"/>
      <c r="Q331" s="5"/>
      <c r="R331" s="5"/>
      <c r="S331" s="5"/>
      <c r="T331" s="5"/>
      <c r="U331" s="5"/>
      <c r="V331" s="5"/>
      <c r="W331" s="5"/>
      <c r="X331" s="5"/>
      <c r="Y331" s="5"/>
      <c r="Z331" s="5"/>
    </row>
    <row r="332" customFormat="false" ht="13.5" hidden="false" customHeight="true" outlineLevel="0" collapsed="false">
      <c r="A332" s="39"/>
      <c r="B332" s="5"/>
      <c r="C332" s="5"/>
      <c r="D332" s="7"/>
      <c r="E332" s="7"/>
      <c r="F332" s="7"/>
      <c r="G332" s="7"/>
      <c r="H332" s="5"/>
      <c r="I332" s="42"/>
      <c r="J332" s="42"/>
      <c r="K332" s="5"/>
      <c r="L332" s="5"/>
      <c r="M332" s="5"/>
      <c r="N332" s="5"/>
      <c r="O332" s="5"/>
      <c r="P332" s="5"/>
      <c r="Q332" s="5"/>
      <c r="R332" s="5"/>
      <c r="S332" s="5"/>
      <c r="T332" s="5"/>
      <c r="U332" s="5"/>
      <c r="V332" s="5"/>
      <c r="W332" s="5"/>
      <c r="X332" s="5"/>
      <c r="Y332" s="5"/>
      <c r="Z332" s="5"/>
    </row>
    <row r="333" customFormat="false" ht="13.5" hidden="false" customHeight="true" outlineLevel="0" collapsed="false">
      <c r="A333" s="39"/>
      <c r="B333" s="5"/>
      <c r="C333" s="5"/>
      <c r="D333" s="7"/>
      <c r="E333" s="7"/>
      <c r="F333" s="7"/>
      <c r="G333" s="7"/>
      <c r="H333" s="5"/>
      <c r="I333" s="42"/>
      <c r="J333" s="42"/>
      <c r="K333" s="5"/>
      <c r="L333" s="5"/>
      <c r="M333" s="5"/>
      <c r="N333" s="5"/>
      <c r="O333" s="5"/>
      <c r="P333" s="5"/>
      <c r="Q333" s="5"/>
      <c r="R333" s="5"/>
      <c r="S333" s="5"/>
      <c r="T333" s="5"/>
      <c r="U333" s="5"/>
      <c r="V333" s="5"/>
      <c r="W333" s="5"/>
      <c r="X333" s="5"/>
      <c r="Y333" s="5"/>
      <c r="Z333" s="5"/>
    </row>
    <row r="334" customFormat="false" ht="13.5" hidden="false" customHeight="true" outlineLevel="0" collapsed="false">
      <c r="A334" s="39"/>
      <c r="B334" s="5"/>
      <c r="C334" s="5"/>
      <c r="D334" s="7"/>
      <c r="E334" s="7"/>
      <c r="F334" s="7"/>
      <c r="G334" s="7"/>
      <c r="H334" s="5"/>
      <c r="I334" s="42"/>
      <c r="J334" s="42"/>
      <c r="K334" s="5"/>
      <c r="L334" s="5"/>
      <c r="M334" s="5"/>
      <c r="N334" s="5"/>
      <c r="O334" s="5"/>
      <c r="P334" s="5"/>
      <c r="Q334" s="5"/>
      <c r="R334" s="5"/>
      <c r="S334" s="5"/>
      <c r="T334" s="5"/>
      <c r="U334" s="5"/>
      <c r="V334" s="5"/>
      <c r="W334" s="5"/>
      <c r="X334" s="5"/>
      <c r="Y334" s="5"/>
      <c r="Z334" s="5"/>
    </row>
    <row r="335" customFormat="false" ht="13.5" hidden="false" customHeight="true" outlineLevel="0" collapsed="false">
      <c r="A335" s="39"/>
      <c r="B335" s="5"/>
      <c r="C335" s="5"/>
      <c r="D335" s="7"/>
      <c r="E335" s="7"/>
      <c r="F335" s="7"/>
      <c r="G335" s="7"/>
      <c r="H335" s="5"/>
      <c r="I335" s="42"/>
      <c r="J335" s="42"/>
      <c r="K335" s="5"/>
      <c r="L335" s="5"/>
      <c r="M335" s="5"/>
      <c r="N335" s="5"/>
      <c r="O335" s="5"/>
      <c r="P335" s="5"/>
      <c r="Q335" s="5"/>
      <c r="R335" s="5"/>
      <c r="S335" s="5"/>
      <c r="T335" s="5"/>
      <c r="U335" s="5"/>
      <c r="V335" s="5"/>
      <c r="W335" s="5"/>
      <c r="X335" s="5"/>
      <c r="Y335" s="5"/>
      <c r="Z335" s="5"/>
    </row>
    <row r="336" customFormat="false" ht="13.5" hidden="false" customHeight="true" outlineLevel="0" collapsed="false">
      <c r="A336" s="39"/>
      <c r="B336" s="5"/>
      <c r="C336" s="5"/>
      <c r="D336" s="7"/>
      <c r="E336" s="7"/>
      <c r="F336" s="7"/>
      <c r="G336" s="7"/>
      <c r="H336" s="5"/>
      <c r="I336" s="42"/>
      <c r="J336" s="42"/>
      <c r="K336" s="5"/>
      <c r="L336" s="5"/>
      <c r="M336" s="5"/>
      <c r="N336" s="5"/>
      <c r="O336" s="5"/>
      <c r="P336" s="5"/>
      <c r="Q336" s="5"/>
      <c r="R336" s="5"/>
      <c r="S336" s="5"/>
      <c r="T336" s="5"/>
      <c r="U336" s="5"/>
      <c r="V336" s="5"/>
      <c r="W336" s="5"/>
      <c r="X336" s="5"/>
      <c r="Y336" s="5"/>
      <c r="Z336" s="5"/>
    </row>
    <row r="337" customFormat="false" ht="13.5" hidden="false" customHeight="true" outlineLevel="0" collapsed="false">
      <c r="A337" s="39"/>
      <c r="B337" s="5"/>
      <c r="C337" s="5"/>
      <c r="D337" s="7"/>
      <c r="E337" s="7"/>
      <c r="F337" s="7"/>
      <c r="G337" s="7"/>
      <c r="H337" s="5"/>
      <c r="I337" s="42"/>
      <c r="J337" s="42"/>
      <c r="K337" s="5"/>
      <c r="L337" s="5"/>
      <c r="M337" s="5"/>
      <c r="N337" s="5"/>
      <c r="O337" s="5"/>
      <c r="P337" s="5"/>
      <c r="Q337" s="5"/>
      <c r="R337" s="5"/>
      <c r="S337" s="5"/>
      <c r="T337" s="5"/>
      <c r="U337" s="5"/>
      <c r="V337" s="5"/>
      <c r="W337" s="5"/>
      <c r="X337" s="5"/>
      <c r="Y337" s="5"/>
      <c r="Z337" s="5"/>
    </row>
    <row r="338" customFormat="false" ht="13.5" hidden="false" customHeight="true" outlineLevel="0" collapsed="false">
      <c r="A338" s="39"/>
      <c r="B338" s="5"/>
      <c r="C338" s="5"/>
      <c r="D338" s="7"/>
      <c r="E338" s="7"/>
      <c r="F338" s="7"/>
      <c r="G338" s="7"/>
      <c r="H338" s="5"/>
      <c r="I338" s="42"/>
      <c r="J338" s="42"/>
      <c r="K338" s="5"/>
      <c r="L338" s="5"/>
      <c r="M338" s="5"/>
      <c r="N338" s="5"/>
      <c r="O338" s="5"/>
      <c r="P338" s="5"/>
      <c r="Q338" s="5"/>
      <c r="R338" s="5"/>
      <c r="S338" s="5"/>
      <c r="T338" s="5"/>
      <c r="U338" s="5"/>
      <c r="V338" s="5"/>
      <c r="W338" s="5"/>
      <c r="X338" s="5"/>
      <c r="Y338" s="5"/>
      <c r="Z338" s="5"/>
    </row>
    <row r="339" customFormat="false" ht="13.5" hidden="false" customHeight="true" outlineLevel="0" collapsed="false">
      <c r="A339" s="39"/>
      <c r="B339" s="5"/>
      <c r="C339" s="5"/>
      <c r="D339" s="7"/>
      <c r="E339" s="7"/>
      <c r="F339" s="7"/>
      <c r="G339" s="7"/>
      <c r="H339" s="5"/>
      <c r="I339" s="42"/>
      <c r="J339" s="42"/>
      <c r="K339" s="5"/>
      <c r="L339" s="5"/>
      <c r="M339" s="5"/>
      <c r="N339" s="5"/>
      <c r="O339" s="5"/>
      <c r="P339" s="5"/>
      <c r="Q339" s="5"/>
      <c r="R339" s="5"/>
      <c r="S339" s="5"/>
      <c r="T339" s="5"/>
      <c r="U339" s="5"/>
      <c r="V339" s="5"/>
      <c r="W339" s="5"/>
      <c r="X339" s="5"/>
      <c r="Y339" s="5"/>
      <c r="Z339" s="5"/>
    </row>
    <row r="340" customFormat="false" ht="13.5" hidden="false" customHeight="true" outlineLevel="0" collapsed="false">
      <c r="A340" s="39"/>
      <c r="B340" s="5"/>
      <c r="C340" s="5"/>
      <c r="D340" s="7"/>
      <c r="E340" s="7"/>
      <c r="F340" s="7"/>
      <c r="G340" s="7"/>
      <c r="H340" s="5"/>
      <c r="I340" s="42"/>
      <c r="J340" s="42"/>
      <c r="K340" s="5"/>
      <c r="L340" s="5"/>
      <c r="M340" s="5"/>
      <c r="N340" s="5"/>
      <c r="O340" s="5"/>
      <c r="P340" s="5"/>
      <c r="Q340" s="5"/>
      <c r="R340" s="5"/>
      <c r="S340" s="5"/>
      <c r="T340" s="5"/>
      <c r="U340" s="5"/>
      <c r="V340" s="5"/>
      <c r="W340" s="5"/>
      <c r="X340" s="5"/>
      <c r="Y340" s="5"/>
      <c r="Z340" s="5"/>
    </row>
    <row r="341" customFormat="false" ht="13.5" hidden="false" customHeight="true" outlineLevel="0" collapsed="false">
      <c r="A341" s="39"/>
      <c r="B341" s="5"/>
      <c r="C341" s="5"/>
      <c r="D341" s="7"/>
      <c r="E341" s="7"/>
      <c r="F341" s="7"/>
      <c r="G341" s="7"/>
      <c r="H341" s="5"/>
      <c r="I341" s="42"/>
      <c r="J341" s="42"/>
      <c r="K341" s="5"/>
      <c r="L341" s="5"/>
      <c r="M341" s="5"/>
      <c r="N341" s="5"/>
      <c r="O341" s="5"/>
      <c r="P341" s="5"/>
      <c r="Q341" s="5"/>
      <c r="R341" s="5"/>
      <c r="S341" s="5"/>
      <c r="T341" s="5"/>
      <c r="U341" s="5"/>
      <c r="V341" s="5"/>
      <c r="W341" s="5"/>
      <c r="X341" s="5"/>
      <c r="Y341" s="5"/>
      <c r="Z341" s="5"/>
    </row>
    <row r="342" customFormat="false" ht="13.5" hidden="false" customHeight="true" outlineLevel="0" collapsed="false">
      <c r="A342" s="39"/>
      <c r="B342" s="5"/>
      <c r="C342" s="5"/>
      <c r="D342" s="7"/>
      <c r="E342" s="7"/>
      <c r="F342" s="7"/>
      <c r="G342" s="7"/>
      <c r="H342" s="5"/>
      <c r="I342" s="42"/>
      <c r="J342" s="42"/>
      <c r="K342" s="5"/>
      <c r="L342" s="5"/>
      <c r="M342" s="5"/>
      <c r="N342" s="5"/>
      <c r="O342" s="5"/>
      <c r="P342" s="5"/>
      <c r="Q342" s="5"/>
      <c r="R342" s="5"/>
      <c r="S342" s="5"/>
      <c r="T342" s="5"/>
      <c r="U342" s="5"/>
      <c r="V342" s="5"/>
      <c r="W342" s="5"/>
      <c r="X342" s="5"/>
      <c r="Y342" s="5"/>
      <c r="Z342" s="5"/>
    </row>
    <row r="343" customFormat="false" ht="13.5" hidden="false" customHeight="true" outlineLevel="0" collapsed="false">
      <c r="A343" s="39"/>
      <c r="B343" s="5"/>
      <c r="C343" s="5"/>
      <c r="D343" s="7"/>
      <c r="E343" s="7"/>
      <c r="F343" s="7"/>
      <c r="G343" s="7"/>
      <c r="H343" s="5"/>
      <c r="I343" s="42"/>
      <c r="J343" s="42"/>
      <c r="K343" s="5"/>
      <c r="L343" s="5"/>
      <c r="M343" s="5"/>
      <c r="N343" s="5"/>
      <c r="O343" s="5"/>
      <c r="P343" s="5"/>
      <c r="Q343" s="5"/>
      <c r="R343" s="5"/>
      <c r="S343" s="5"/>
      <c r="T343" s="5"/>
      <c r="U343" s="5"/>
      <c r="V343" s="5"/>
      <c r="W343" s="5"/>
      <c r="X343" s="5"/>
      <c r="Y343" s="5"/>
      <c r="Z343" s="5"/>
    </row>
    <row r="344" customFormat="false" ht="13.5" hidden="false" customHeight="true" outlineLevel="0" collapsed="false">
      <c r="A344" s="39"/>
      <c r="B344" s="5"/>
      <c r="C344" s="5"/>
      <c r="D344" s="7"/>
      <c r="E344" s="7"/>
      <c r="F344" s="7"/>
      <c r="G344" s="7"/>
      <c r="H344" s="5"/>
      <c r="I344" s="42"/>
      <c r="J344" s="42"/>
      <c r="K344" s="5"/>
      <c r="L344" s="5"/>
      <c r="M344" s="5"/>
      <c r="N344" s="5"/>
      <c r="O344" s="5"/>
      <c r="P344" s="5"/>
      <c r="Q344" s="5"/>
      <c r="R344" s="5"/>
      <c r="S344" s="5"/>
      <c r="T344" s="5"/>
      <c r="U344" s="5"/>
      <c r="V344" s="5"/>
      <c r="W344" s="5"/>
      <c r="X344" s="5"/>
      <c r="Y344" s="5"/>
      <c r="Z344" s="5"/>
    </row>
    <row r="345" customFormat="false" ht="13.5" hidden="false" customHeight="true" outlineLevel="0" collapsed="false">
      <c r="A345" s="39"/>
      <c r="B345" s="5"/>
      <c r="C345" s="5"/>
      <c r="D345" s="7"/>
      <c r="E345" s="7"/>
      <c r="F345" s="7"/>
      <c r="G345" s="7"/>
      <c r="H345" s="5"/>
      <c r="I345" s="42"/>
      <c r="J345" s="42"/>
      <c r="K345" s="5"/>
      <c r="L345" s="5"/>
      <c r="M345" s="5"/>
      <c r="N345" s="5"/>
      <c r="O345" s="5"/>
      <c r="P345" s="5"/>
      <c r="Q345" s="5"/>
      <c r="R345" s="5"/>
      <c r="S345" s="5"/>
      <c r="T345" s="5"/>
      <c r="U345" s="5"/>
      <c r="V345" s="5"/>
      <c r="W345" s="5"/>
      <c r="X345" s="5"/>
      <c r="Y345" s="5"/>
      <c r="Z345" s="5"/>
    </row>
    <row r="346" customFormat="false" ht="13.5" hidden="false" customHeight="true" outlineLevel="0" collapsed="false">
      <c r="A346" s="39"/>
      <c r="B346" s="5"/>
      <c r="C346" s="5"/>
      <c r="D346" s="7"/>
      <c r="E346" s="7"/>
      <c r="F346" s="7"/>
      <c r="G346" s="7"/>
      <c r="H346" s="5"/>
      <c r="I346" s="42"/>
      <c r="J346" s="42"/>
      <c r="K346" s="5"/>
      <c r="L346" s="5"/>
      <c r="M346" s="5"/>
      <c r="N346" s="5"/>
      <c r="O346" s="5"/>
      <c r="P346" s="5"/>
      <c r="Q346" s="5"/>
      <c r="R346" s="5"/>
      <c r="S346" s="5"/>
      <c r="T346" s="5"/>
      <c r="U346" s="5"/>
      <c r="V346" s="5"/>
      <c r="W346" s="5"/>
      <c r="X346" s="5"/>
      <c r="Y346" s="5"/>
      <c r="Z346" s="5"/>
    </row>
    <row r="347" customFormat="false" ht="13.5" hidden="false" customHeight="true" outlineLevel="0" collapsed="false">
      <c r="A347" s="39"/>
      <c r="B347" s="5"/>
      <c r="C347" s="5"/>
      <c r="D347" s="7"/>
      <c r="E347" s="7"/>
      <c r="F347" s="7"/>
      <c r="G347" s="7"/>
      <c r="H347" s="5"/>
      <c r="I347" s="42"/>
      <c r="J347" s="42"/>
      <c r="K347" s="5"/>
      <c r="L347" s="5"/>
      <c r="M347" s="5"/>
      <c r="N347" s="5"/>
      <c r="O347" s="5"/>
      <c r="P347" s="5"/>
      <c r="Q347" s="5"/>
      <c r="R347" s="5"/>
      <c r="S347" s="5"/>
      <c r="T347" s="5"/>
      <c r="U347" s="5"/>
      <c r="V347" s="5"/>
      <c r="W347" s="5"/>
      <c r="X347" s="5"/>
      <c r="Y347" s="5"/>
      <c r="Z347" s="5"/>
    </row>
    <row r="348" customFormat="false" ht="13.5" hidden="false" customHeight="true" outlineLevel="0" collapsed="false">
      <c r="A348" s="39"/>
      <c r="B348" s="5"/>
      <c r="C348" s="5"/>
      <c r="D348" s="7"/>
      <c r="E348" s="7"/>
      <c r="F348" s="7"/>
      <c r="G348" s="7"/>
      <c r="H348" s="5"/>
      <c r="I348" s="42"/>
      <c r="J348" s="42"/>
      <c r="K348" s="5"/>
      <c r="L348" s="5"/>
      <c r="M348" s="5"/>
      <c r="N348" s="5"/>
      <c r="O348" s="5"/>
      <c r="P348" s="5"/>
      <c r="Q348" s="5"/>
      <c r="R348" s="5"/>
      <c r="S348" s="5"/>
      <c r="T348" s="5"/>
      <c r="U348" s="5"/>
      <c r="V348" s="5"/>
      <c r="W348" s="5"/>
      <c r="X348" s="5"/>
      <c r="Y348" s="5"/>
      <c r="Z348" s="5"/>
    </row>
    <row r="349" customFormat="false" ht="13.5" hidden="false" customHeight="true" outlineLevel="0" collapsed="false">
      <c r="A349" s="39"/>
      <c r="B349" s="5"/>
      <c r="C349" s="5"/>
      <c r="D349" s="7"/>
      <c r="E349" s="7"/>
      <c r="F349" s="7"/>
      <c r="G349" s="7"/>
      <c r="H349" s="5"/>
      <c r="I349" s="42"/>
      <c r="J349" s="42"/>
      <c r="K349" s="5"/>
      <c r="L349" s="5"/>
      <c r="M349" s="5"/>
      <c r="N349" s="5"/>
      <c r="O349" s="5"/>
      <c r="P349" s="5"/>
      <c r="Q349" s="5"/>
      <c r="R349" s="5"/>
      <c r="S349" s="5"/>
      <c r="T349" s="5"/>
      <c r="U349" s="5"/>
      <c r="V349" s="5"/>
      <c r="W349" s="5"/>
      <c r="X349" s="5"/>
      <c r="Y349" s="5"/>
      <c r="Z349" s="5"/>
    </row>
    <row r="350" customFormat="false" ht="13.5" hidden="false" customHeight="true" outlineLevel="0" collapsed="false">
      <c r="A350" s="39"/>
      <c r="B350" s="5"/>
      <c r="C350" s="5"/>
      <c r="D350" s="7"/>
      <c r="E350" s="7"/>
      <c r="F350" s="7"/>
      <c r="G350" s="7"/>
      <c r="H350" s="5"/>
      <c r="I350" s="42"/>
      <c r="J350" s="42"/>
      <c r="K350" s="5"/>
      <c r="L350" s="5"/>
      <c r="M350" s="5"/>
      <c r="N350" s="5"/>
      <c r="O350" s="5"/>
      <c r="P350" s="5"/>
      <c r="Q350" s="5"/>
      <c r="R350" s="5"/>
      <c r="S350" s="5"/>
      <c r="T350" s="5"/>
      <c r="U350" s="5"/>
      <c r="V350" s="5"/>
      <c r="W350" s="5"/>
      <c r="X350" s="5"/>
      <c r="Y350" s="5"/>
      <c r="Z350" s="5"/>
    </row>
    <row r="351" customFormat="false" ht="13.5" hidden="false" customHeight="true" outlineLevel="0" collapsed="false">
      <c r="A351" s="39"/>
      <c r="B351" s="5"/>
      <c r="C351" s="5"/>
      <c r="D351" s="7"/>
      <c r="E351" s="7"/>
      <c r="F351" s="7"/>
      <c r="G351" s="7"/>
      <c r="H351" s="5"/>
      <c r="I351" s="42"/>
      <c r="J351" s="42"/>
      <c r="K351" s="5"/>
      <c r="L351" s="5"/>
      <c r="M351" s="5"/>
      <c r="N351" s="5"/>
      <c r="O351" s="5"/>
      <c r="P351" s="5"/>
      <c r="Q351" s="5"/>
      <c r="R351" s="5"/>
      <c r="S351" s="5"/>
      <c r="T351" s="5"/>
      <c r="U351" s="5"/>
      <c r="V351" s="5"/>
      <c r="W351" s="5"/>
      <c r="X351" s="5"/>
      <c r="Y351" s="5"/>
      <c r="Z351" s="5"/>
    </row>
    <row r="352" customFormat="false" ht="13.5" hidden="false" customHeight="true" outlineLevel="0" collapsed="false">
      <c r="A352" s="39"/>
      <c r="B352" s="5"/>
      <c r="C352" s="5"/>
      <c r="D352" s="7"/>
      <c r="E352" s="7"/>
      <c r="F352" s="7"/>
      <c r="G352" s="7"/>
      <c r="H352" s="5"/>
      <c r="I352" s="42"/>
      <c r="J352" s="42"/>
      <c r="K352" s="5"/>
      <c r="L352" s="5"/>
      <c r="M352" s="5"/>
      <c r="N352" s="5"/>
      <c r="O352" s="5"/>
      <c r="P352" s="5"/>
      <c r="Q352" s="5"/>
      <c r="R352" s="5"/>
      <c r="S352" s="5"/>
      <c r="T352" s="5"/>
      <c r="U352" s="5"/>
      <c r="V352" s="5"/>
      <c r="W352" s="5"/>
      <c r="X352" s="5"/>
      <c r="Y352" s="5"/>
      <c r="Z352" s="5"/>
    </row>
    <row r="353" customFormat="false" ht="13.5" hidden="false" customHeight="true" outlineLevel="0" collapsed="false">
      <c r="A353" s="39"/>
      <c r="B353" s="5"/>
      <c r="C353" s="5"/>
      <c r="D353" s="7"/>
      <c r="E353" s="7"/>
      <c r="F353" s="7"/>
      <c r="G353" s="7"/>
      <c r="H353" s="5"/>
      <c r="I353" s="42"/>
      <c r="J353" s="42"/>
      <c r="K353" s="5"/>
      <c r="L353" s="5"/>
      <c r="M353" s="5"/>
      <c r="N353" s="5"/>
      <c r="O353" s="5"/>
      <c r="P353" s="5"/>
      <c r="Q353" s="5"/>
      <c r="R353" s="5"/>
      <c r="S353" s="5"/>
      <c r="T353" s="5"/>
      <c r="U353" s="5"/>
      <c r="V353" s="5"/>
      <c r="W353" s="5"/>
      <c r="X353" s="5"/>
      <c r="Y353" s="5"/>
      <c r="Z353" s="5"/>
    </row>
    <row r="354" customFormat="false" ht="13.5" hidden="false" customHeight="true" outlineLevel="0" collapsed="false">
      <c r="A354" s="39"/>
      <c r="B354" s="5"/>
      <c r="C354" s="5"/>
      <c r="D354" s="7"/>
      <c r="E354" s="7"/>
      <c r="F354" s="7"/>
      <c r="G354" s="7"/>
      <c r="H354" s="5"/>
      <c r="I354" s="42"/>
      <c r="J354" s="42"/>
      <c r="K354" s="5"/>
      <c r="L354" s="5"/>
      <c r="M354" s="5"/>
      <c r="N354" s="5"/>
      <c r="O354" s="5"/>
      <c r="P354" s="5"/>
      <c r="Q354" s="5"/>
      <c r="R354" s="5"/>
      <c r="S354" s="5"/>
      <c r="T354" s="5"/>
      <c r="U354" s="5"/>
      <c r="V354" s="5"/>
      <c r="W354" s="5"/>
      <c r="X354" s="5"/>
      <c r="Y354" s="5"/>
      <c r="Z354" s="5"/>
    </row>
    <row r="355" customFormat="false" ht="13.5" hidden="false" customHeight="true" outlineLevel="0" collapsed="false">
      <c r="A355" s="39"/>
      <c r="B355" s="5"/>
      <c r="C355" s="5"/>
      <c r="D355" s="7"/>
      <c r="E355" s="7"/>
      <c r="F355" s="7"/>
      <c r="G355" s="7"/>
      <c r="H355" s="5"/>
      <c r="I355" s="42"/>
      <c r="J355" s="42"/>
      <c r="K355" s="5"/>
      <c r="L355" s="5"/>
      <c r="M355" s="5"/>
      <c r="N355" s="5"/>
      <c r="O355" s="5"/>
      <c r="P355" s="5"/>
      <c r="Q355" s="5"/>
      <c r="R355" s="5"/>
      <c r="S355" s="5"/>
      <c r="T355" s="5"/>
      <c r="U355" s="5"/>
      <c r="V355" s="5"/>
      <c r="W355" s="5"/>
      <c r="X355" s="5"/>
      <c r="Y355" s="5"/>
      <c r="Z355" s="5"/>
    </row>
    <row r="356" customFormat="false" ht="13.5" hidden="false" customHeight="true" outlineLevel="0" collapsed="false">
      <c r="A356" s="39"/>
      <c r="B356" s="5"/>
      <c r="C356" s="5"/>
      <c r="D356" s="7"/>
      <c r="E356" s="7"/>
      <c r="F356" s="7"/>
      <c r="G356" s="7"/>
      <c r="H356" s="5"/>
      <c r="I356" s="42"/>
      <c r="J356" s="42"/>
      <c r="K356" s="5"/>
      <c r="L356" s="5"/>
      <c r="M356" s="5"/>
      <c r="N356" s="5"/>
      <c r="O356" s="5"/>
      <c r="P356" s="5"/>
      <c r="Q356" s="5"/>
      <c r="R356" s="5"/>
      <c r="S356" s="5"/>
      <c r="T356" s="5"/>
      <c r="U356" s="5"/>
      <c r="V356" s="5"/>
      <c r="W356" s="5"/>
      <c r="X356" s="5"/>
      <c r="Y356" s="5"/>
      <c r="Z356" s="5"/>
    </row>
    <row r="357" customFormat="false" ht="13.5" hidden="false" customHeight="true" outlineLevel="0" collapsed="false">
      <c r="A357" s="39"/>
      <c r="B357" s="5"/>
      <c r="C357" s="5"/>
      <c r="D357" s="7"/>
      <c r="E357" s="7"/>
      <c r="F357" s="7"/>
      <c r="G357" s="7"/>
      <c r="H357" s="5"/>
      <c r="I357" s="42"/>
      <c r="J357" s="42"/>
      <c r="K357" s="5"/>
      <c r="L357" s="5"/>
      <c r="M357" s="5"/>
      <c r="N357" s="5"/>
      <c r="O357" s="5"/>
      <c r="P357" s="5"/>
      <c r="Q357" s="5"/>
      <c r="R357" s="5"/>
      <c r="S357" s="5"/>
      <c r="T357" s="5"/>
      <c r="U357" s="5"/>
      <c r="V357" s="5"/>
      <c r="W357" s="5"/>
      <c r="X357" s="5"/>
      <c r="Y357" s="5"/>
      <c r="Z357" s="5"/>
    </row>
    <row r="358" customFormat="false" ht="13.5" hidden="false" customHeight="true" outlineLevel="0" collapsed="false">
      <c r="A358" s="39"/>
      <c r="B358" s="5"/>
      <c r="C358" s="5"/>
      <c r="D358" s="7"/>
      <c r="E358" s="7"/>
      <c r="F358" s="7"/>
      <c r="G358" s="7"/>
      <c r="H358" s="5"/>
      <c r="I358" s="42"/>
      <c r="J358" s="42"/>
      <c r="K358" s="5"/>
      <c r="L358" s="5"/>
      <c r="M358" s="5"/>
      <c r="N358" s="5"/>
      <c r="O358" s="5"/>
      <c r="P358" s="5"/>
      <c r="Q358" s="5"/>
      <c r="R358" s="5"/>
      <c r="S358" s="5"/>
      <c r="T358" s="5"/>
      <c r="U358" s="5"/>
      <c r="V358" s="5"/>
      <c r="W358" s="5"/>
      <c r="X358" s="5"/>
      <c r="Y358" s="5"/>
      <c r="Z358" s="5"/>
    </row>
    <row r="359" customFormat="false" ht="13.5" hidden="false" customHeight="true" outlineLevel="0" collapsed="false">
      <c r="A359" s="39"/>
      <c r="B359" s="5"/>
      <c r="C359" s="5"/>
      <c r="D359" s="7"/>
      <c r="E359" s="7"/>
      <c r="F359" s="7"/>
      <c r="G359" s="7"/>
      <c r="H359" s="5"/>
      <c r="I359" s="42"/>
      <c r="J359" s="42"/>
      <c r="K359" s="5"/>
      <c r="L359" s="5"/>
      <c r="M359" s="5"/>
      <c r="N359" s="5"/>
      <c r="O359" s="5"/>
      <c r="P359" s="5"/>
      <c r="Q359" s="5"/>
      <c r="R359" s="5"/>
      <c r="S359" s="5"/>
      <c r="T359" s="5"/>
      <c r="U359" s="5"/>
      <c r="V359" s="5"/>
      <c r="W359" s="5"/>
      <c r="X359" s="5"/>
      <c r="Y359" s="5"/>
      <c r="Z359" s="5"/>
    </row>
    <row r="360" customFormat="false" ht="13.5" hidden="false" customHeight="true" outlineLevel="0" collapsed="false">
      <c r="A360" s="39"/>
      <c r="B360" s="5"/>
      <c r="C360" s="5"/>
      <c r="D360" s="7"/>
      <c r="E360" s="7"/>
      <c r="F360" s="7"/>
      <c r="G360" s="7"/>
      <c r="H360" s="5"/>
      <c r="I360" s="42"/>
      <c r="J360" s="42"/>
      <c r="K360" s="5"/>
      <c r="L360" s="5"/>
      <c r="M360" s="5"/>
      <c r="N360" s="5"/>
      <c r="O360" s="5"/>
      <c r="P360" s="5"/>
      <c r="Q360" s="5"/>
      <c r="R360" s="5"/>
      <c r="S360" s="5"/>
      <c r="T360" s="5"/>
      <c r="U360" s="5"/>
      <c r="V360" s="5"/>
      <c r="W360" s="5"/>
      <c r="X360" s="5"/>
      <c r="Y360" s="5"/>
      <c r="Z360" s="5"/>
    </row>
    <row r="361" customFormat="false" ht="13.5" hidden="false" customHeight="true" outlineLevel="0" collapsed="false">
      <c r="A361" s="39"/>
      <c r="B361" s="5"/>
      <c r="C361" s="5"/>
      <c r="D361" s="7"/>
      <c r="E361" s="7"/>
      <c r="F361" s="7"/>
      <c r="G361" s="7"/>
      <c r="H361" s="5"/>
      <c r="I361" s="42"/>
      <c r="J361" s="42"/>
      <c r="K361" s="5"/>
      <c r="L361" s="5"/>
      <c r="M361" s="5"/>
      <c r="N361" s="5"/>
      <c r="O361" s="5"/>
      <c r="P361" s="5"/>
      <c r="Q361" s="5"/>
      <c r="R361" s="5"/>
      <c r="S361" s="5"/>
      <c r="T361" s="5"/>
      <c r="U361" s="5"/>
      <c r="V361" s="5"/>
      <c r="W361" s="5"/>
      <c r="X361" s="5"/>
      <c r="Y361" s="5"/>
      <c r="Z361" s="5"/>
    </row>
    <row r="362" customFormat="false" ht="13.5" hidden="false" customHeight="true" outlineLevel="0" collapsed="false">
      <c r="A362" s="39"/>
      <c r="B362" s="5"/>
      <c r="C362" s="5"/>
      <c r="D362" s="7"/>
      <c r="E362" s="7"/>
      <c r="F362" s="7"/>
      <c r="G362" s="7"/>
      <c r="H362" s="5"/>
      <c r="I362" s="42"/>
      <c r="J362" s="42"/>
      <c r="K362" s="5"/>
      <c r="L362" s="5"/>
      <c r="M362" s="5"/>
      <c r="N362" s="5"/>
      <c r="O362" s="5"/>
      <c r="P362" s="5"/>
      <c r="Q362" s="5"/>
      <c r="R362" s="5"/>
      <c r="S362" s="5"/>
      <c r="T362" s="5"/>
      <c r="U362" s="5"/>
      <c r="V362" s="5"/>
      <c r="W362" s="5"/>
      <c r="X362" s="5"/>
      <c r="Y362" s="5"/>
      <c r="Z362" s="5"/>
    </row>
    <row r="363" customFormat="false" ht="13.5" hidden="false" customHeight="true" outlineLevel="0" collapsed="false">
      <c r="A363" s="39"/>
      <c r="B363" s="5"/>
      <c r="C363" s="5"/>
      <c r="D363" s="7"/>
      <c r="E363" s="7"/>
      <c r="F363" s="7"/>
      <c r="G363" s="7"/>
      <c r="H363" s="5"/>
      <c r="I363" s="42"/>
      <c r="J363" s="42"/>
      <c r="K363" s="5"/>
      <c r="L363" s="5"/>
      <c r="M363" s="5"/>
      <c r="N363" s="5"/>
      <c r="O363" s="5"/>
      <c r="P363" s="5"/>
      <c r="Q363" s="5"/>
      <c r="R363" s="5"/>
      <c r="S363" s="5"/>
      <c r="T363" s="5"/>
      <c r="U363" s="5"/>
      <c r="V363" s="5"/>
      <c r="W363" s="5"/>
      <c r="X363" s="5"/>
      <c r="Y363" s="5"/>
      <c r="Z363" s="5"/>
    </row>
    <row r="364" customFormat="false" ht="13.5" hidden="false" customHeight="true" outlineLevel="0" collapsed="false">
      <c r="A364" s="39"/>
      <c r="B364" s="5"/>
      <c r="C364" s="5"/>
      <c r="D364" s="7"/>
      <c r="E364" s="7"/>
      <c r="F364" s="7"/>
      <c r="G364" s="7"/>
      <c r="H364" s="5"/>
      <c r="I364" s="42"/>
      <c r="J364" s="42"/>
      <c r="K364" s="5"/>
      <c r="L364" s="5"/>
      <c r="M364" s="5"/>
      <c r="N364" s="5"/>
      <c r="O364" s="5"/>
      <c r="P364" s="5"/>
      <c r="Q364" s="5"/>
      <c r="R364" s="5"/>
      <c r="S364" s="5"/>
      <c r="T364" s="5"/>
      <c r="U364" s="5"/>
      <c r="V364" s="5"/>
      <c r="W364" s="5"/>
      <c r="X364" s="5"/>
      <c r="Y364" s="5"/>
      <c r="Z364" s="5"/>
    </row>
    <row r="365" customFormat="false" ht="13.5" hidden="false" customHeight="true" outlineLevel="0" collapsed="false">
      <c r="A365" s="39"/>
      <c r="B365" s="5"/>
      <c r="C365" s="5"/>
      <c r="D365" s="7"/>
      <c r="E365" s="7"/>
      <c r="F365" s="7"/>
      <c r="G365" s="7"/>
      <c r="H365" s="5"/>
      <c r="I365" s="42"/>
      <c r="J365" s="42"/>
      <c r="K365" s="5"/>
      <c r="L365" s="5"/>
      <c r="M365" s="5"/>
      <c r="N365" s="5"/>
      <c r="O365" s="5"/>
      <c r="P365" s="5"/>
      <c r="Q365" s="5"/>
      <c r="R365" s="5"/>
      <c r="S365" s="5"/>
      <c r="T365" s="5"/>
      <c r="U365" s="5"/>
      <c r="V365" s="5"/>
      <c r="W365" s="5"/>
      <c r="X365" s="5"/>
      <c r="Y365" s="5"/>
      <c r="Z365" s="5"/>
    </row>
    <row r="366" customFormat="false" ht="13.5" hidden="false" customHeight="true" outlineLevel="0" collapsed="false">
      <c r="A366" s="39"/>
      <c r="B366" s="5"/>
      <c r="C366" s="5"/>
      <c r="D366" s="7"/>
      <c r="E366" s="7"/>
      <c r="F366" s="7"/>
      <c r="G366" s="7"/>
      <c r="H366" s="5"/>
      <c r="I366" s="42"/>
      <c r="J366" s="42"/>
      <c r="K366" s="5"/>
      <c r="L366" s="5"/>
      <c r="M366" s="5"/>
      <c r="N366" s="5"/>
      <c r="O366" s="5"/>
      <c r="P366" s="5"/>
      <c r="Q366" s="5"/>
      <c r="R366" s="5"/>
      <c r="S366" s="5"/>
      <c r="T366" s="5"/>
      <c r="U366" s="5"/>
      <c r="V366" s="5"/>
      <c r="W366" s="5"/>
      <c r="X366" s="5"/>
      <c r="Y366" s="5"/>
      <c r="Z366" s="5"/>
    </row>
    <row r="367" customFormat="false" ht="13.5" hidden="false" customHeight="true" outlineLevel="0" collapsed="false">
      <c r="A367" s="39"/>
      <c r="B367" s="5"/>
      <c r="C367" s="5"/>
      <c r="D367" s="7"/>
      <c r="E367" s="7"/>
      <c r="F367" s="7"/>
      <c r="G367" s="7"/>
      <c r="H367" s="5"/>
      <c r="I367" s="42"/>
      <c r="J367" s="42"/>
      <c r="K367" s="5"/>
      <c r="L367" s="5"/>
      <c r="M367" s="5"/>
      <c r="N367" s="5"/>
      <c r="O367" s="5"/>
      <c r="P367" s="5"/>
      <c r="Q367" s="5"/>
      <c r="R367" s="5"/>
      <c r="S367" s="5"/>
      <c r="T367" s="5"/>
      <c r="U367" s="5"/>
      <c r="V367" s="5"/>
      <c r="W367" s="5"/>
      <c r="X367" s="5"/>
      <c r="Y367" s="5"/>
      <c r="Z367" s="5"/>
    </row>
    <row r="368" customFormat="false" ht="13.5" hidden="false" customHeight="true" outlineLevel="0" collapsed="false">
      <c r="A368" s="39"/>
      <c r="B368" s="5"/>
      <c r="C368" s="5"/>
      <c r="D368" s="7"/>
      <c r="E368" s="7"/>
      <c r="F368" s="7"/>
      <c r="G368" s="7"/>
      <c r="H368" s="5"/>
      <c r="I368" s="42"/>
      <c r="J368" s="42"/>
      <c r="K368" s="5"/>
      <c r="L368" s="5"/>
      <c r="M368" s="5"/>
      <c r="N368" s="5"/>
      <c r="O368" s="5"/>
      <c r="P368" s="5"/>
      <c r="Q368" s="5"/>
      <c r="R368" s="5"/>
      <c r="S368" s="5"/>
      <c r="T368" s="5"/>
      <c r="U368" s="5"/>
      <c r="V368" s="5"/>
      <c r="W368" s="5"/>
      <c r="X368" s="5"/>
      <c r="Y368" s="5"/>
      <c r="Z368" s="5"/>
    </row>
    <row r="369" customFormat="false" ht="13.5" hidden="false" customHeight="true" outlineLevel="0" collapsed="false">
      <c r="A369" s="39"/>
      <c r="B369" s="5"/>
      <c r="C369" s="5"/>
      <c r="D369" s="7"/>
      <c r="E369" s="7"/>
      <c r="F369" s="7"/>
      <c r="G369" s="7"/>
      <c r="H369" s="5"/>
      <c r="I369" s="42"/>
      <c r="J369" s="42"/>
      <c r="K369" s="5"/>
      <c r="L369" s="5"/>
      <c r="M369" s="5"/>
      <c r="N369" s="5"/>
      <c r="O369" s="5"/>
      <c r="P369" s="5"/>
      <c r="Q369" s="5"/>
      <c r="R369" s="5"/>
      <c r="S369" s="5"/>
      <c r="T369" s="5"/>
      <c r="U369" s="5"/>
      <c r="V369" s="5"/>
      <c r="W369" s="5"/>
      <c r="X369" s="5"/>
      <c r="Y369" s="5"/>
      <c r="Z369" s="5"/>
    </row>
    <row r="370" customFormat="false" ht="13.5" hidden="false" customHeight="true" outlineLevel="0" collapsed="false">
      <c r="A370" s="39"/>
      <c r="B370" s="5"/>
      <c r="C370" s="5"/>
      <c r="D370" s="7"/>
      <c r="E370" s="7"/>
      <c r="F370" s="7"/>
      <c r="G370" s="7"/>
      <c r="H370" s="5"/>
      <c r="I370" s="42"/>
      <c r="J370" s="42"/>
      <c r="K370" s="5"/>
      <c r="L370" s="5"/>
      <c r="M370" s="5"/>
      <c r="N370" s="5"/>
      <c r="O370" s="5"/>
      <c r="P370" s="5"/>
      <c r="Q370" s="5"/>
      <c r="R370" s="5"/>
      <c r="S370" s="5"/>
      <c r="T370" s="5"/>
      <c r="U370" s="5"/>
      <c r="V370" s="5"/>
      <c r="W370" s="5"/>
      <c r="X370" s="5"/>
      <c r="Y370" s="5"/>
      <c r="Z370" s="5"/>
    </row>
    <row r="371" customFormat="false" ht="13.5" hidden="false" customHeight="true" outlineLevel="0" collapsed="false">
      <c r="A371" s="39"/>
      <c r="B371" s="5"/>
      <c r="C371" s="5"/>
      <c r="D371" s="7"/>
      <c r="E371" s="7"/>
      <c r="F371" s="7"/>
      <c r="G371" s="7"/>
      <c r="H371" s="5"/>
      <c r="I371" s="42"/>
      <c r="J371" s="42"/>
      <c r="K371" s="5"/>
      <c r="L371" s="5"/>
      <c r="M371" s="5"/>
      <c r="N371" s="5"/>
      <c r="O371" s="5"/>
      <c r="P371" s="5"/>
      <c r="Q371" s="5"/>
      <c r="R371" s="5"/>
      <c r="S371" s="5"/>
      <c r="T371" s="5"/>
      <c r="U371" s="5"/>
      <c r="V371" s="5"/>
      <c r="W371" s="5"/>
      <c r="X371" s="5"/>
      <c r="Y371" s="5"/>
      <c r="Z371" s="5"/>
    </row>
    <row r="372" customFormat="false" ht="13.5" hidden="false" customHeight="true" outlineLevel="0" collapsed="false">
      <c r="A372" s="39"/>
      <c r="B372" s="5"/>
      <c r="C372" s="5"/>
      <c r="D372" s="7"/>
      <c r="E372" s="7"/>
      <c r="F372" s="7"/>
      <c r="G372" s="7"/>
      <c r="H372" s="5"/>
      <c r="I372" s="42"/>
      <c r="J372" s="42"/>
      <c r="K372" s="5"/>
      <c r="L372" s="5"/>
      <c r="M372" s="5"/>
      <c r="N372" s="5"/>
      <c r="O372" s="5"/>
      <c r="P372" s="5"/>
      <c r="Q372" s="5"/>
      <c r="R372" s="5"/>
      <c r="S372" s="5"/>
      <c r="T372" s="5"/>
      <c r="U372" s="5"/>
      <c r="V372" s="5"/>
      <c r="W372" s="5"/>
      <c r="X372" s="5"/>
      <c r="Y372" s="5"/>
      <c r="Z372" s="5"/>
    </row>
    <row r="373" customFormat="false" ht="13.5" hidden="false" customHeight="true" outlineLevel="0" collapsed="false">
      <c r="A373" s="39"/>
      <c r="B373" s="5"/>
      <c r="C373" s="5"/>
      <c r="D373" s="7"/>
      <c r="E373" s="7"/>
      <c r="F373" s="7"/>
      <c r="G373" s="7"/>
      <c r="H373" s="5"/>
      <c r="I373" s="42"/>
      <c r="J373" s="42"/>
      <c r="K373" s="5"/>
      <c r="L373" s="5"/>
      <c r="M373" s="5"/>
      <c r="N373" s="5"/>
      <c r="O373" s="5"/>
      <c r="P373" s="5"/>
      <c r="Q373" s="5"/>
      <c r="R373" s="5"/>
      <c r="S373" s="5"/>
      <c r="T373" s="5"/>
      <c r="U373" s="5"/>
      <c r="V373" s="5"/>
      <c r="W373" s="5"/>
      <c r="X373" s="5"/>
      <c r="Y373" s="5"/>
      <c r="Z373" s="5"/>
    </row>
    <row r="374" customFormat="false" ht="13.5" hidden="false" customHeight="true" outlineLevel="0" collapsed="false">
      <c r="A374" s="39"/>
      <c r="B374" s="5"/>
      <c r="C374" s="5"/>
      <c r="D374" s="7"/>
      <c r="E374" s="7"/>
      <c r="F374" s="7"/>
      <c r="G374" s="7"/>
      <c r="H374" s="5"/>
      <c r="I374" s="42"/>
      <c r="J374" s="42"/>
      <c r="K374" s="5"/>
      <c r="L374" s="5"/>
      <c r="M374" s="5"/>
      <c r="N374" s="5"/>
      <c r="O374" s="5"/>
      <c r="P374" s="5"/>
      <c r="Q374" s="5"/>
      <c r="R374" s="5"/>
      <c r="S374" s="5"/>
      <c r="T374" s="5"/>
      <c r="U374" s="5"/>
      <c r="V374" s="5"/>
      <c r="W374" s="5"/>
      <c r="X374" s="5"/>
      <c r="Y374" s="5"/>
      <c r="Z374" s="5"/>
    </row>
    <row r="375" customFormat="false" ht="13.5" hidden="false" customHeight="true" outlineLevel="0" collapsed="false">
      <c r="A375" s="39"/>
      <c r="B375" s="5"/>
      <c r="C375" s="5"/>
      <c r="D375" s="7"/>
      <c r="E375" s="7"/>
      <c r="F375" s="7"/>
      <c r="G375" s="7"/>
      <c r="H375" s="5"/>
      <c r="I375" s="42"/>
      <c r="J375" s="42"/>
      <c r="K375" s="5"/>
      <c r="L375" s="5"/>
      <c r="M375" s="5"/>
      <c r="N375" s="5"/>
      <c r="O375" s="5"/>
      <c r="P375" s="5"/>
      <c r="Q375" s="5"/>
      <c r="R375" s="5"/>
      <c r="S375" s="5"/>
      <c r="T375" s="5"/>
      <c r="U375" s="5"/>
      <c r="V375" s="5"/>
      <c r="W375" s="5"/>
      <c r="X375" s="5"/>
      <c r="Y375" s="5"/>
      <c r="Z375" s="5"/>
    </row>
    <row r="376" customFormat="false" ht="13.5" hidden="false" customHeight="true" outlineLevel="0" collapsed="false">
      <c r="A376" s="39"/>
      <c r="B376" s="5"/>
      <c r="C376" s="5"/>
      <c r="D376" s="7"/>
      <c r="E376" s="7"/>
      <c r="F376" s="7"/>
      <c r="G376" s="7"/>
      <c r="H376" s="5"/>
      <c r="I376" s="42"/>
      <c r="J376" s="42"/>
      <c r="K376" s="5"/>
      <c r="L376" s="5"/>
      <c r="M376" s="5"/>
      <c r="N376" s="5"/>
      <c r="O376" s="5"/>
      <c r="P376" s="5"/>
      <c r="Q376" s="5"/>
      <c r="R376" s="5"/>
      <c r="S376" s="5"/>
      <c r="T376" s="5"/>
      <c r="U376" s="5"/>
      <c r="V376" s="5"/>
      <c r="W376" s="5"/>
      <c r="X376" s="5"/>
      <c r="Y376" s="5"/>
      <c r="Z376" s="5"/>
    </row>
    <row r="377" customFormat="false" ht="13.5" hidden="false" customHeight="true" outlineLevel="0" collapsed="false">
      <c r="A377" s="39"/>
      <c r="B377" s="5"/>
      <c r="C377" s="5"/>
      <c r="D377" s="7"/>
      <c r="E377" s="7"/>
      <c r="F377" s="7"/>
      <c r="G377" s="7"/>
      <c r="H377" s="5"/>
      <c r="I377" s="42"/>
      <c r="J377" s="42"/>
      <c r="K377" s="5"/>
      <c r="L377" s="5"/>
      <c r="M377" s="5"/>
      <c r="N377" s="5"/>
      <c r="O377" s="5"/>
      <c r="P377" s="5"/>
      <c r="Q377" s="5"/>
      <c r="R377" s="5"/>
      <c r="S377" s="5"/>
      <c r="T377" s="5"/>
      <c r="U377" s="5"/>
      <c r="V377" s="5"/>
      <c r="W377" s="5"/>
      <c r="X377" s="5"/>
      <c r="Y377" s="5"/>
      <c r="Z377" s="5"/>
    </row>
    <row r="378" customFormat="false" ht="13.5" hidden="false" customHeight="true" outlineLevel="0" collapsed="false">
      <c r="A378" s="39"/>
      <c r="B378" s="5"/>
      <c r="C378" s="5"/>
      <c r="D378" s="7"/>
      <c r="E378" s="7"/>
      <c r="F378" s="7"/>
      <c r="G378" s="7"/>
      <c r="H378" s="5"/>
      <c r="I378" s="42"/>
      <c r="J378" s="42"/>
      <c r="K378" s="5"/>
      <c r="L378" s="5"/>
      <c r="M378" s="5"/>
      <c r="N378" s="5"/>
      <c r="O378" s="5"/>
      <c r="P378" s="5"/>
      <c r="Q378" s="5"/>
      <c r="R378" s="5"/>
      <c r="S378" s="5"/>
      <c r="T378" s="5"/>
      <c r="U378" s="5"/>
      <c r="V378" s="5"/>
      <c r="W378" s="5"/>
      <c r="X378" s="5"/>
      <c r="Y378" s="5"/>
      <c r="Z378" s="5"/>
    </row>
    <row r="379" customFormat="false" ht="13.5" hidden="false" customHeight="true" outlineLevel="0" collapsed="false">
      <c r="A379" s="39"/>
      <c r="B379" s="5"/>
      <c r="C379" s="5"/>
      <c r="D379" s="7"/>
      <c r="E379" s="7"/>
      <c r="F379" s="7"/>
      <c r="G379" s="7"/>
      <c r="H379" s="5"/>
      <c r="I379" s="42"/>
      <c r="J379" s="42"/>
      <c r="K379" s="5"/>
      <c r="L379" s="5"/>
      <c r="M379" s="5"/>
      <c r="N379" s="5"/>
      <c r="O379" s="5"/>
      <c r="P379" s="5"/>
      <c r="Q379" s="5"/>
      <c r="R379" s="5"/>
      <c r="S379" s="5"/>
      <c r="T379" s="5"/>
      <c r="U379" s="5"/>
      <c r="V379" s="5"/>
      <c r="W379" s="5"/>
      <c r="X379" s="5"/>
      <c r="Y379" s="5"/>
      <c r="Z379" s="5"/>
    </row>
    <row r="380" customFormat="false" ht="13.5" hidden="false" customHeight="true" outlineLevel="0" collapsed="false">
      <c r="A380" s="39"/>
      <c r="B380" s="5"/>
      <c r="C380" s="5"/>
      <c r="D380" s="7"/>
      <c r="E380" s="7"/>
      <c r="F380" s="7"/>
      <c r="G380" s="7"/>
      <c r="H380" s="5"/>
      <c r="I380" s="42"/>
      <c r="J380" s="42"/>
      <c r="K380" s="5"/>
      <c r="L380" s="5"/>
      <c r="M380" s="5"/>
      <c r="N380" s="5"/>
      <c r="O380" s="5"/>
      <c r="P380" s="5"/>
      <c r="Q380" s="5"/>
      <c r="R380" s="5"/>
      <c r="S380" s="5"/>
      <c r="T380" s="5"/>
      <c r="U380" s="5"/>
      <c r="V380" s="5"/>
      <c r="W380" s="5"/>
      <c r="X380" s="5"/>
      <c r="Y380" s="5"/>
      <c r="Z380" s="5"/>
    </row>
    <row r="381" customFormat="false" ht="13.5" hidden="false" customHeight="true" outlineLevel="0" collapsed="false">
      <c r="A381" s="39"/>
      <c r="B381" s="5"/>
      <c r="C381" s="5"/>
      <c r="D381" s="7"/>
      <c r="E381" s="7"/>
      <c r="F381" s="7"/>
      <c r="G381" s="7"/>
      <c r="H381" s="5"/>
      <c r="I381" s="42"/>
      <c r="J381" s="42"/>
      <c r="K381" s="5"/>
      <c r="L381" s="5"/>
      <c r="M381" s="5"/>
      <c r="N381" s="5"/>
      <c r="O381" s="5"/>
      <c r="P381" s="5"/>
      <c r="Q381" s="5"/>
      <c r="R381" s="5"/>
      <c r="S381" s="5"/>
      <c r="T381" s="5"/>
      <c r="U381" s="5"/>
      <c r="V381" s="5"/>
      <c r="W381" s="5"/>
      <c r="X381" s="5"/>
      <c r="Y381" s="5"/>
      <c r="Z381" s="5"/>
    </row>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0">
    <mergeCell ref="B1:H1"/>
    <mergeCell ref="B2:D2"/>
    <mergeCell ref="B3:H3"/>
    <mergeCell ref="B5:C5"/>
    <mergeCell ref="D5:H5"/>
    <mergeCell ref="B6:D6"/>
    <mergeCell ref="I7:L7"/>
    <mergeCell ref="B8:H8"/>
    <mergeCell ref="B9:C9"/>
    <mergeCell ref="B14:C14"/>
    <mergeCell ref="B18:C18"/>
    <mergeCell ref="B24:C24"/>
    <mergeCell ref="B31:C31"/>
    <mergeCell ref="B35:C35"/>
    <mergeCell ref="B41:C41"/>
    <mergeCell ref="B44:H44"/>
    <mergeCell ref="B45:C45"/>
    <mergeCell ref="B112:C112"/>
    <mergeCell ref="B128:C128"/>
    <mergeCell ref="B143:C143"/>
  </mergeCells>
  <conditionalFormatting sqref="B36">
    <cfRule type="expression" priority="2" aboveAverage="0" equalAverage="0" bottom="0" percent="0" rank="0" text="" dxfId="0">
      <formula>$D$36="Clarification required"</formula>
    </cfRule>
  </conditionalFormatting>
  <conditionalFormatting sqref="B37">
    <cfRule type="expression" priority="3" aboveAverage="0" equalAverage="0" bottom="0" percent="0" rank="0" text="" dxfId="0">
      <formula>$D$37="Clarification required"</formula>
    </cfRule>
  </conditionalFormatting>
  <conditionalFormatting sqref="B38">
    <cfRule type="expression" priority="4" aboveAverage="0" equalAverage="0" bottom="0" percent="0" rank="0" text="" dxfId="0">
      <formula>$D$38="Clarification required"</formula>
    </cfRule>
  </conditionalFormatting>
  <conditionalFormatting sqref="B39">
    <cfRule type="expression" priority="5" aboveAverage="0" equalAverage="0" bottom="0" percent="0" rank="0" text="" dxfId="0">
      <formula>$D$39="Clarification required"</formula>
    </cfRule>
  </conditionalFormatting>
  <conditionalFormatting sqref="B40">
    <cfRule type="expression" priority="6" aboveAverage="0" equalAverage="0" bottom="0" percent="0" rank="0" text="" dxfId="0">
      <formula>$D$40="Clarification required"</formula>
    </cfRule>
  </conditionalFormatting>
  <conditionalFormatting sqref="B43">
    <cfRule type="expression" priority="7" aboveAverage="0" equalAverage="0" bottom="0" percent="0" rank="0" text="" dxfId="0">
      <formula>$D$43="Clarification required"</formula>
    </cfRule>
  </conditionalFormatting>
  <dataValidations count="1">
    <dataValidation allowBlank="true" errorStyle="stop" operator="between" showDropDown="false" showErrorMessage="true" showInputMessage="false" sqref="D10:D13 D15:D17 D19:D23 D25:D30 D32:D34 D36:D40 D42:D43 D46:D111 D113:D127 D129:D142 D144:D181" type="list">
      <formula1>"Yes,No,Not Applicable,Refer to comments,Clarification required"</formula1>
      <formula2>0</formula2>
    </dataValidation>
  </dataValidations>
  <printOptions headings="false" gridLines="false" gridLinesSet="true" horizontalCentered="false" verticalCentered="false"/>
  <pageMargins left="0.7" right="0.7" top="1.14375" bottom="1.14375" header="0.511811023622047" footer="0.511811023622047"/>
  <pageSetup paperSize="77" scale="53"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31"/>
    <col collapsed="false" customWidth="true" hidden="false" outlineLevel="0" max="2" min="2" style="1" width="10.22"/>
    <col collapsed="false" customWidth="true" hidden="false" outlineLevel="0" max="3" min="3" style="1" width="50.18"/>
    <col collapsed="false" customWidth="true" hidden="false" outlineLevel="0" max="5" min="4" style="1" width="39.41"/>
    <col collapsed="false" customWidth="true" hidden="true" outlineLevel="0" max="7" min="6" style="1" width="8.61"/>
    <col collapsed="false" customWidth="true" hidden="false" outlineLevel="0" max="26" min="8" style="1" width="8.61"/>
    <col collapsed="false" customWidth="true" hidden="false" outlineLevel="0" max="1024" min="27" style="1" width="12.24"/>
  </cols>
  <sheetData>
    <row r="1" customFormat="false" ht="49.5" hidden="false" customHeight="true" outlineLevel="0" collapsed="false">
      <c r="A1" s="3"/>
      <c r="B1" s="10" t="s">
        <v>458</v>
      </c>
      <c r="C1" s="10"/>
      <c r="D1" s="10"/>
      <c r="E1" s="10"/>
      <c r="F1" s="7"/>
      <c r="G1" s="7"/>
      <c r="H1" s="5"/>
      <c r="I1" s="5"/>
      <c r="J1" s="5"/>
      <c r="K1" s="5"/>
      <c r="L1" s="5"/>
      <c r="M1" s="5"/>
      <c r="N1" s="5"/>
      <c r="O1" s="5"/>
      <c r="P1" s="5"/>
      <c r="Q1" s="5"/>
      <c r="R1" s="5"/>
      <c r="S1" s="5"/>
      <c r="T1" s="5"/>
      <c r="U1" s="5"/>
      <c r="V1" s="5"/>
      <c r="W1" s="5"/>
      <c r="X1" s="5"/>
      <c r="Y1" s="5"/>
      <c r="Z1" s="5"/>
    </row>
    <row r="2" customFormat="false" ht="15" hidden="false" customHeight="true" outlineLevel="0" collapsed="false">
      <c r="A2" s="39"/>
      <c r="B2" s="70"/>
      <c r="C2" s="70"/>
      <c r="D2" s="70"/>
      <c r="E2" s="70"/>
      <c r="F2" s="7"/>
      <c r="G2" s="7"/>
      <c r="H2" s="5"/>
      <c r="I2" s="5"/>
      <c r="J2" s="5"/>
      <c r="K2" s="5"/>
      <c r="L2" s="5"/>
      <c r="M2" s="5"/>
      <c r="N2" s="5"/>
      <c r="O2" s="5"/>
      <c r="P2" s="5"/>
      <c r="Q2" s="5"/>
      <c r="R2" s="5"/>
      <c r="S2" s="5"/>
      <c r="T2" s="5"/>
      <c r="U2" s="5"/>
      <c r="V2" s="5"/>
      <c r="W2" s="5"/>
      <c r="X2" s="5"/>
      <c r="Y2" s="5"/>
      <c r="Z2" s="5"/>
    </row>
    <row r="3" customFormat="false" ht="34.5" hidden="false" customHeight="true" outlineLevel="0" collapsed="false">
      <c r="A3" s="39"/>
      <c r="B3" s="46" t="s">
        <v>23</v>
      </c>
      <c r="C3" s="46" t="s">
        <v>24</v>
      </c>
      <c r="D3" s="46" t="s">
        <v>459</v>
      </c>
      <c r="E3" s="71" t="s">
        <v>25</v>
      </c>
      <c r="F3" s="7"/>
      <c r="G3" s="7"/>
      <c r="H3" s="5"/>
      <c r="I3" s="5"/>
      <c r="J3" s="5"/>
      <c r="K3" s="5"/>
      <c r="L3" s="5"/>
      <c r="M3" s="5"/>
      <c r="N3" s="5"/>
      <c r="O3" s="5"/>
      <c r="P3" s="5"/>
      <c r="Q3" s="5"/>
      <c r="R3" s="5"/>
      <c r="S3" s="5"/>
      <c r="T3" s="5"/>
      <c r="U3" s="5"/>
      <c r="V3" s="5"/>
      <c r="W3" s="5"/>
      <c r="X3" s="5"/>
      <c r="Y3" s="5"/>
      <c r="Z3" s="5"/>
    </row>
    <row r="4" customFormat="false" ht="30" hidden="false" customHeight="true" outlineLevel="0" collapsed="false">
      <c r="A4" s="39"/>
      <c r="B4" s="72" t="s">
        <v>460</v>
      </c>
      <c r="C4" s="72"/>
      <c r="D4" s="72"/>
      <c r="E4" s="73" t="s">
        <v>461</v>
      </c>
      <c r="F4" s="51"/>
      <c r="G4" s="7"/>
      <c r="H4" s="5"/>
      <c r="I4" s="5"/>
      <c r="J4" s="5"/>
      <c r="K4" s="5"/>
      <c r="L4" s="5"/>
      <c r="M4" s="5"/>
      <c r="N4" s="5"/>
      <c r="O4" s="5"/>
      <c r="P4" s="5"/>
      <c r="Q4" s="5"/>
      <c r="R4" s="5"/>
      <c r="S4" s="5"/>
      <c r="T4" s="5"/>
      <c r="U4" s="5"/>
      <c r="V4" s="5"/>
      <c r="W4" s="5"/>
      <c r="X4" s="5"/>
      <c r="Y4" s="5"/>
      <c r="Z4" s="5"/>
    </row>
    <row r="5" customFormat="false" ht="39.75" hidden="false" customHeight="true" outlineLevel="0" collapsed="false">
      <c r="A5" s="39"/>
      <c r="B5" s="52" t="s">
        <v>31</v>
      </c>
      <c r="C5" s="52"/>
      <c r="D5" s="52"/>
      <c r="E5" s="52"/>
      <c r="F5" s="74" t="s">
        <v>462</v>
      </c>
      <c r="G5" s="74"/>
      <c r="H5" s="5"/>
      <c r="I5" s="5"/>
      <c r="J5" s="5"/>
      <c r="K5" s="5"/>
      <c r="L5" s="5"/>
      <c r="M5" s="5"/>
      <c r="N5" s="5"/>
      <c r="O5" s="5"/>
      <c r="P5" s="5"/>
      <c r="Q5" s="5"/>
      <c r="R5" s="5"/>
      <c r="S5" s="5"/>
      <c r="T5" s="5"/>
      <c r="U5" s="5"/>
      <c r="V5" s="5"/>
      <c r="W5" s="5"/>
      <c r="X5" s="5"/>
      <c r="Y5" s="5"/>
      <c r="Z5" s="5"/>
    </row>
    <row r="6" customFormat="false" ht="13.5" hidden="false" customHeight="true" outlineLevel="0" collapsed="false">
      <c r="A6" s="39" t="n">
        <v>1</v>
      </c>
      <c r="B6" s="54" t="s">
        <v>38</v>
      </c>
      <c r="C6" s="54" t="s">
        <v>39</v>
      </c>
      <c r="D6" s="55"/>
      <c r="E6" s="55"/>
      <c r="F6" s="7" t="n">
        <f aca="false">COUNTIF(D6, "*")</f>
        <v>0</v>
      </c>
      <c r="G6" s="7" t="n">
        <f aca="false">COUNTIF('ISO27k Gap Analysis Questions'!M10, "1")</f>
        <v>0</v>
      </c>
      <c r="H6" s="5"/>
      <c r="I6" s="5"/>
      <c r="J6" s="5"/>
      <c r="K6" s="5"/>
      <c r="L6" s="5"/>
      <c r="M6" s="5"/>
      <c r="N6" s="5"/>
      <c r="O6" s="5"/>
      <c r="P6" s="5"/>
      <c r="Q6" s="5"/>
      <c r="R6" s="5"/>
      <c r="S6" s="5"/>
      <c r="T6" s="5"/>
      <c r="U6" s="5"/>
      <c r="V6" s="5"/>
      <c r="W6" s="5"/>
      <c r="X6" s="5"/>
      <c r="Y6" s="5"/>
      <c r="Z6" s="5"/>
    </row>
    <row r="7" customFormat="false" ht="13.5" hidden="false" customHeight="true" outlineLevel="0" collapsed="false">
      <c r="A7" s="39" t="n">
        <v>1</v>
      </c>
      <c r="B7" s="56" t="s">
        <v>41</v>
      </c>
      <c r="C7" s="56" t="s">
        <v>42</v>
      </c>
      <c r="D7" s="57"/>
      <c r="E7" s="57"/>
      <c r="F7" s="7" t="n">
        <f aca="false">COUNTIF(D7, "*")</f>
        <v>0</v>
      </c>
      <c r="G7" s="7" t="n">
        <f aca="false">COUNTIF('ISO27k Gap Analysis Questions'!M11, "1")</f>
        <v>0</v>
      </c>
      <c r="H7" s="5"/>
      <c r="I7" s="5"/>
      <c r="J7" s="5"/>
      <c r="K7" s="5"/>
      <c r="L7" s="5"/>
      <c r="M7" s="5"/>
      <c r="N7" s="5"/>
      <c r="O7" s="5"/>
      <c r="P7" s="5"/>
      <c r="Q7" s="5"/>
      <c r="R7" s="5"/>
      <c r="S7" s="5"/>
      <c r="T7" s="5"/>
      <c r="U7" s="5"/>
      <c r="V7" s="5"/>
      <c r="W7" s="5"/>
      <c r="X7" s="5"/>
      <c r="Y7" s="5"/>
      <c r="Z7" s="5"/>
    </row>
    <row r="8" customFormat="false" ht="13.5" hidden="false" customHeight="true" outlineLevel="0" collapsed="false">
      <c r="A8" s="39" t="n">
        <v>1</v>
      </c>
      <c r="B8" s="56" t="s">
        <v>44</v>
      </c>
      <c r="C8" s="56" t="s">
        <v>45</v>
      </c>
      <c r="D8" s="57"/>
      <c r="E8" s="57"/>
      <c r="F8" s="7" t="n">
        <f aca="false">COUNTIF(D8, "*")</f>
        <v>0</v>
      </c>
      <c r="G8" s="7" t="n">
        <f aca="false">COUNTIF('ISO27k Gap Analysis Questions'!M12, "1")</f>
        <v>0</v>
      </c>
      <c r="H8" s="5"/>
      <c r="I8" s="5"/>
      <c r="J8" s="5"/>
      <c r="K8" s="5"/>
      <c r="L8" s="5"/>
      <c r="M8" s="5"/>
      <c r="N8" s="5"/>
      <c r="O8" s="5"/>
      <c r="P8" s="5"/>
      <c r="Q8" s="5"/>
      <c r="R8" s="5"/>
      <c r="S8" s="5"/>
      <c r="T8" s="5"/>
      <c r="U8" s="5"/>
      <c r="V8" s="5"/>
      <c r="W8" s="5"/>
      <c r="X8" s="5"/>
      <c r="Y8" s="5"/>
      <c r="Z8" s="5"/>
    </row>
    <row r="9" customFormat="false" ht="13.5" hidden="false" customHeight="true" outlineLevel="0" collapsed="false">
      <c r="A9" s="39" t="n">
        <v>1</v>
      </c>
      <c r="B9" s="56" t="s">
        <v>47</v>
      </c>
      <c r="C9" s="56" t="s">
        <v>48</v>
      </c>
      <c r="D9" s="57"/>
      <c r="E9" s="57"/>
      <c r="F9" s="7" t="n">
        <f aca="false">COUNTIF(D9, "*")</f>
        <v>0</v>
      </c>
      <c r="G9" s="7" t="n">
        <f aca="false">COUNTIF('ISO27k Gap Analysis Questions'!M13, "1")</f>
        <v>0</v>
      </c>
      <c r="H9" s="5"/>
      <c r="I9" s="5"/>
      <c r="J9" s="5"/>
      <c r="K9" s="5"/>
      <c r="L9" s="5"/>
      <c r="M9" s="5"/>
      <c r="N9" s="5"/>
      <c r="O9" s="5"/>
      <c r="P9" s="5"/>
      <c r="Q9" s="5"/>
      <c r="R9" s="5"/>
      <c r="S9" s="5"/>
      <c r="T9" s="5"/>
      <c r="U9" s="5"/>
      <c r="V9" s="5"/>
      <c r="W9" s="5"/>
      <c r="X9" s="5"/>
      <c r="Y9" s="5"/>
      <c r="Z9" s="5"/>
    </row>
    <row r="10" customFormat="false" ht="39.75" hidden="false" customHeight="true" outlineLevel="0" collapsed="false">
      <c r="A10" s="39"/>
      <c r="B10" s="75" t="s">
        <v>50</v>
      </c>
      <c r="C10" s="75"/>
      <c r="D10" s="75"/>
      <c r="E10" s="75"/>
      <c r="F10" s="7"/>
      <c r="G10" s="7"/>
      <c r="H10" s="5"/>
      <c r="I10" s="5"/>
      <c r="J10" s="5"/>
      <c r="K10" s="5"/>
      <c r="L10" s="5"/>
      <c r="M10" s="5"/>
      <c r="N10" s="5"/>
      <c r="O10" s="5"/>
      <c r="P10" s="5"/>
      <c r="Q10" s="5"/>
      <c r="R10" s="5"/>
      <c r="S10" s="5"/>
      <c r="T10" s="5"/>
      <c r="U10" s="5"/>
      <c r="V10" s="5"/>
      <c r="W10" s="5"/>
      <c r="X10" s="5"/>
      <c r="Y10" s="5"/>
      <c r="Z10" s="5"/>
    </row>
    <row r="11" customFormat="false" ht="13.5" hidden="false" customHeight="true" outlineLevel="0" collapsed="false">
      <c r="A11" s="39" t="n">
        <v>1</v>
      </c>
      <c r="B11" s="56" t="s">
        <v>51</v>
      </c>
      <c r="C11" s="56" t="s">
        <v>52</v>
      </c>
      <c r="D11" s="57"/>
      <c r="E11" s="57"/>
      <c r="F11" s="7" t="n">
        <f aca="false">COUNTIF(D11, "*")</f>
        <v>0</v>
      </c>
      <c r="G11" s="7" t="n">
        <f aca="false">COUNTIF('ISO27k Gap Analysis Questions'!M15, "1")</f>
        <v>0</v>
      </c>
      <c r="H11" s="5"/>
      <c r="I11" s="5"/>
      <c r="J11" s="5"/>
      <c r="K11" s="5"/>
      <c r="L11" s="5"/>
      <c r="M11" s="5"/>
      <c r="N11" s="5"/>
      <c r="O11" s="5"/>
      <c r="P11" s="5"/>
      <c r="Q11" s="5"/>
      <c r="R11" s="5"/>
      <c r="S11" s="5"/>
      <c r="T11" s="5"/>
      <c r="U11" s="5"/>
      <c r="V11" s="5"/>
      <c r="W11" s="5"/>
      <c r="X11" s="5"/>
      <c r="Y11" s="5"/>
      <c r="Z11" s="5"/>
    </row>
    <row r="12" customFormat="false" ht="13.5" hidden="false" customHeight="true" outlineLevel="0" collapsed="false">
      <c r="A12" s="39" t="n">
        <v>1</v>
      </c>
      <c r="B12" s="56" t="s">
        <v>54</v>
      </c>
      <c r="C12" s="56" t="s">
        <v>55</v>
      </c>
      <c r="D12" s="57"/>
      <c r="E12" s="57"/>
      <c r="F12" s="7" t="n">
        <f aca="false">COUNTIF(D12, "*")</f>
        <v>0</v>
      </c>
      <c r="G12" s="7" t="n">
        <f aca="false">COUNTIF('ISO27k Gap Analysis Questions'!M16, "1")</f>
        <v>0</v>
      </c>
      <c r="H12" s="5"/>
      <c r="I12" s="5"/>
      <c r="J12" s="5"/>
      <c r="K12" s="5"/>
      <c r="L12" s="5"/>
      <c r="M12" s="5"/>
      <c r="N12" s="5"/>
      <c r="O12" s="5"/>
      <c r="P12" s="5"/>
      <c r="Q12" s="5"/>
      <c r="R12" s="5"/>
      <c r="S12" s="5"/>
      <c r="T12" s="5"/>
      <c r="U12" s="5"/>
      <c r="V12" s="5"/>
      <c r="W12" s="5"/>
      <c r="X12" s="5"/>
      <c r="Y12" s="5"/>
      <c r="Z12" s="5"/>
    </row>
    <row r="13" customFormat="false" ht="13.5" hidden="false" customHeight="true" outlineLevel="0" collapsed="false">
      <c r="A13" s="39" t="n">
        <v>1</v>
      </c>
      <c r="B13" s="56" t="s">
        <v>57</v>
      </c>
      <c r="C13" s="56" t="s">
        <v>58</v>
      </c>
      <c r="D13" s="57"/>
      <c r="E13" s="57"/>
      <c r="F13" s="7" t="n">
        <f aca="false">COUNTIF(D13, "*")</f>
        <v>0</v>
      </c>
      <c r="G13" s="7" t="n">
        <f aca="false">COUNTIF('ISO27k Gap Analysis Questions'!M17, "1")</f>
        <v>0</v>
      </c>
      <c r="H13" s="5"/>
      <c r="I13" s="5"/>
      <c r="J13" s="5"/>
      <c r="K13" s="5"/>
      <c r="L13" s="5"/>
      <c r="M13" s="5"/>
      <c r="N13" s="5"/>
      <c r="O13" s="5"/>
      <c r="P13" s="5"/>
      <c r="Q13" s="5"/>
      <c r="R13" s="5"/>
      <c r="S13" s="5"/>
      <c r="T13" s="5"/>
      <c r="U13" s="5"/>
      <c r="V13" s="5"/>
      <c r="W13" s="5"/>
      <c r="X13" s="5"/>
      <c r="Y13" s="5"/>
      <c r="Z13" s="5"/>
    </row>
    <row r="14" customFormat="false" ht="39.75" hidden="false" customHeight="true" outlineLevel="0" collapsed="false">
      <c r="A14" s="39"/>
      <c r="B14" s="75" t="s">
        <v>60</v>
      </c>
      <c r="C14" s="75"/>
      <c r="D14" s="75"/>
      <c r="E14" s="75"/>
      <c r="F14" s="7"/>
      <c r="G14" s="7"/>
      <c r="H14" s="5"/>
      <c r="I14" s="5"/>
      <c r="J14" s="5"/>
      <c r="K14" s="5"/>
      <c r="L14" s="5"/>
      <c r="M14" s="5"/>
      <c r="N14" s="5"/>
      <c r="O14" s="5"/>
      <c r="P14" s="5"/>
      <c r="Q14" s="5"/>
      <c r="R14" s="5"/>
      <c r="S14" s="5"/>
      <c r="T14" s="5"/>
      <c r="U14" s="5"/>
      <c r="V14" s="5"/>
      <c r="W14" s="5"/>
      <c r="X14" s="5"/>
      <c r="Y14" s="5"/>
      <c r="Z14" s="5"/>
    </row>
    <row r="15" customFormat="false" ht="13.5" hidden="false" customHeight="true" outlineLevel="0" collapsed="false">
      <c r="A15" s="39" t="n">
        <v>1</v>
      </c>
      <c r="B15" s="56" t="s">
        <v>61</v>
      </c>
      <c r="C15" s="56" t="s">
        <v>62</v>
      </c>
      <c r="D15" s="57"/>
      <c r="E15" s="57"/>
      <c r="F15" s="7" t="n">
        <f aca="false">COUNTIF(D15, "*")</f>
        <v>0</v>
      </c>
      <c r="G15" s="7" t="n">
        <f aca="false">COUNTIF('ISO27k Gap Analysis Questions'!M19, "1")</f>
        <v>0</v>
      </c>
      <c r="H15" s="5"/>
      <c r="I15" s="5"/>
      <c r="J15" s="5"/>
      <c r="K15" s="5"/>
      <c r="L15" s="5"/>
      <c r="M15" s="5"/>
      <c r="N15" s="5"/>
      <c r="O15" s="5"/>
      <c r="P15" s="5"/>
      <c r="Q15" s="5"/>
      <c r="R15" s="5"/>
      <c r="S15" s="5"/>
      <c r="T15" s="5"/>
      <c r="U15" s="5"/>
      <c r="V15" s="5"/>
      <c r="W15" s="5"/>
      <c r="X15" s="5"/>
      <c r="Y15" s="5"/>
      <c r="Z15" s="5"/>
    </row>
    <row r="16" customFormat="false" ht="13.5" hidden="false" customHeight="true" outlineLevel="0" collapsed="false">
      <c r="A16" s="39" t="n">
        <v>1</v>
      </c>
      <c r="B16" s="56" t="s">
        <v>64</v>
      </c>
      <c r="C16" s="56" t="s">
        <v>65</v>
      </c>
      <c r="D16" s="57"/>
      <c r="E16" s="57"/>
      <c r="F16" s="7" t="n">
        <f aca="false">COUNTIF(D16, "*")</f>
        <v>0</v>
      </c>
      <c r="G16" s="7" t="n">
        <f aca="false">COUNTIF('ISO27k Gap Analysis Questions'!M20, "1")</f>
        <v>0</v>
      </c>
      <c r="H16" s="5"/>
      <c r="I16" s="5"/>
      <c r="J16" s="5"/>
      <c r="K16" s="5"/>
      <c r="L16" s="5"/>
      <c r="M16" s="5"/>
      <c r="N16" s="5"/>
      <c r="O16" s="5"/>
      <c r="P16" s="5"/>
      <c r="Q16" s="5"/>
      <c r="R16" s="5"/>
      <c r="S16" s="5"/>
      <c r="T16" s="5"/>
      <c r="U16" s="5"/>
      <c r="V16" s="5"/>
      <c r="W16" s="5"/>
      <c r="X16" s="5"/>
      <c r="Y16" s="5"/>
      <c r="Z16" s="5"/>
    </row>
    <row r="17" customFormat="false" ht="13.5" hidden="false" customHeight="true" outlineLevel="0" collapsed="false">
      <c r="A17" s="39" t="n">
        <v>1</v>
      </c>
      <c r="B17" s="56" t="s">
        <v>67</v>
      </c>
      <c r="C17" s="56" t="s">
        <v>68</v>
      </c>
      <c r="D17" s="57"/>
      <c r="E17" s="57"/>
      <c r="F17" s="7" t="n">
        <f aca="false">COUNTIF(D17, "*")</f>
        <v>0</v>
      </c>
      <c r="G17" s="7" t="n">
        <f aca="false">COUNTIF('ISO27k Gap Analysis Questions'!M21, "1")</f>
        <v>0</v>
      </c>
      <c r="H17" s="5"/>
      <c r="I17" s="5"/>
      <c r="J17" s="5"/>
      <c r="K17" s="5"/>
      <c r="L17" s="5"/>
      <c r="M17" s="5"/>
      <c r="N17" s="5"/>
      <c r="O17" s="5"/>
      <c r="P17" s="5"/>
      <c r="Q17" s="5"/>
      <c r="R17" s="5"/>
      <c r="S17" s="5"/>
      <c r="T17" s="5"/>
      <c r="U17" s="5"/>
      <c r="V17" s="5"/>
      <c r="W17" s="5"/>
      <c r="X17" s="5"/>
      <c r="Y17" s="5"/>
      <c r="Z17" s="5"/>
    </row>
    <row r="18" customFormat="false" ht="13.5" hidden="false" customHeight="true" outlineLevel="0" collapsed="false">
      <c r="A18" s="39" t="n">
        <v>1</v>
      </c>
      <c r="B18" s="56" t="s">
        <v>70</v>
      </c>
      <c r="C18" s="56" t="s">
        <v>71</v>
      </c>
      <c r="D18" s="57"/>
      <c r="E18" s="57"/>
      <c r="F18" s="7" t="n">
        <f aca="false">COUNTIF(D18, "*")</f>
        <v>0</v>
      </c>
      <c r="G18" s="7" t="n">
        <f aca="false">COUNTIF('ISO27k Gap Analysis Questions'!M22, "1")</f>
        <v>0</v>
      </c>
      <c r="H18" s="5"/>
      <c r="I18" s="5"/>
      <c r="J18" s="5"/>
      <c r="K18" s="5"/>
      <c r="L18" s="5"/>
      <c r="M18" s="5"/>
      <c r="N18" s="5"/>
      <c r="O18" s="5"/>
      <c r="P18" s="5"/>
      <c r="Q18" s="5"/>
      <c r="R18" s="5"/>
      <c r="S18" s="5"/>
      <c r="T18" s="5"/>
      <c r="U18" s="5"/>
      <c r="V18" s="5"/>
      <c r="W18" s="5"/>
      <c r="X18" s="5"/>
      <c r="Y18" s="5"/>
      <c r="Z18" s="5"/>
    </row>
    <row r="19" customFormat="false" ht="13.5" hidden="false" customHeight="true" outlineLevel="0" collapsed="false">
      <c r="A19" s="39" t="n">
        <v>1</v>
      </c>
      <c r="B19" s="56" t="s">
        <v>73</v>
      </c>
      <c r="C19" s="56" t="s">
        <v>74</v>
      </c>
      <c r="D19" s="57"/>
      <c r="E19" s="57"/>
      <c r="F19" s="7" t="n">
        <f aca="false">COUNTIF(D19, "*")</f>
        <v>0</v>
      </c>
      <c r="G19" s="7" t="n">
        <f aca="false">COUNTIF('ISO27k Gap Analysis Questions'!M23, "1")</f>
        <v>0</v>
      </c>
      <c r="H19" s="5"/>
      <c r="I19" s="5"/>
      <c r="J19" s="5"/>
      <c r="K19" s="5"/>
      <c r="L19" s="5"/>
      <c r="M19" s="5"/>
      <c r="N19" s="5"/>
      <c r="O19" s="5"/>
      <c r="P19" s="5"/>
      <c r="Q19" s="5"/>
      <c r="R19" s="5"/>
      <c r="S19" s="5"/>
      <c r="T19" s="5"/>
      <c r="U19" s="5"/>
      <c r="V19" s="5"/>
      <c r="W19" s="5"/>
      <c r="X19" s="5"/>
      <c r="Y19" s="5"/>
      <c r="Z19" s="5"/>
    </row>
    <row r="20" customFormat="false" ht="39.75" hidden="false" customHeight="true" outlineLevel="0" collapsed="false">
      <c r="A20" s="39"/>
      <c r="B20" s="75" t="s">
        <v>76</v>
      </c>
      <c r="C20" s="75"/>
      <c r="D20" s="75"/>
      <c r="E20" s="75"/>
      <c r="F20" s="7"/>
      <c r="G20" s="7"/>
      <c r="H20" s="5"/>
      <c r="I20" s="5"/>
      <c r="J20" s="5"/>
      <c r="K20" s="5"/>
      <c r="L20" s="5"/>
      <c r="M20" s="5"/>
      <c r="N20" s="5"/>
      <c r="O20" s="5"/>
      <c r="P20" s="5"/>
      <c r="Q20" s="5"/>
      <c r="R20" s="5"/>
      <c r="S20" s="5"/>
      <c r="T20" s="5"/>
      <c r="U20" s="5"/>
      <c r="V20" s="5"/>
      <c r="W20" s="5"/>
      <c r="X20" s="5"/>
      <c r="Y20" s="5"/>
      <c r="Z20" s="5"/>
    </row>
    <row r="21" customFormat="false" ht="13.5" hidden="false" customHeight="true" outlineLevel="0" collapsed="false">
      <c r="A21" s="39" t="n">
        <v>1</v>
      </c>
      <c r="B21" s="56" t="s">
        <v>77</v>
      </c>
      <c r="C21" s="56" t="s">
        <v>78</v>
      </c>
      <c r="D21" s="57"/>
      <c r="E21" s="57"/>
      <c r="F21" s="7" t="n">
        <f aca="false">COUNTIF(D21, "*")</f>
        <v>0</v>
      </c>
      <c r="G21" s="7" t="n">
        <f aca="false">COUNTIF('ISO27k Gap Analysis Questions'!M25, "1")</f>
        <v>0</v>
      </c>
      <c r="H21" s="5"/>
      <c r="I21" s="5"/>
      <c r="J21" s="5"/>
      <c r="K21" s="5"/>
      <c r="L21" s="5"/>
      <c r="M21" s="5"/>
      <c r="N21" s="5"/>
      <c r="O21" s="5"/>
      <c r="P21" s="5"/>
      <c r="Q21" s="5"/>
      <c r="R21" s="5"/>
      <c r="S21" s="5"/>
      <c r="T21" s="5"/>
      <c r="U21" s="5"/>
      <c r="V21" s="5"/>
      <c r="W21" s="5"/>
      <c r="X21" s="5"/>
      <c r="Y21" s="5"/>
      <c r="Z21" s="5"/>
    </row>
    <row r="22" customFormat="false" ht="13.5" hidden="false" customHeight="true" outlineLevel="0" collapsed="false">
      <c r="A22" s="39" t="n">
        <v>1</v>
      </c>
      <c r="B22" s="56" t="s">
        <v>80</v>
      </c>
      <c r="C22" s="56" t="s">
        <v>81</v>
      </c>
      <c r="D22" s="57"/>
      <c r="E22" s="57"/>
      <c r="F22" s="7" t="n">
        <f aca="false">COUNTIF(D22, "*")</f>
        <v>0</v>
      </c>
      <c r="G22" s="7" t="n">
        <f aca="false">COUNTIF('ISO27k Gap Analysis Questions'!M26, "1")</f>
        <v>0</v>
      </c>
      <c r="H22" s="5"/>
      <c r="I22" s="5"/>
      <c r="J22" s="5"/>
      <c r="K22" s="5"/>
      <c r="L22" s="5"/>
      <c r="M22" s="5"/>
      <c r="N22" s="5"/>
      <c r="O22" s="5"/>
      <c r="P22" s="5"/>
      <c r="Q22" s="5"/>
      <c r="R22" s="5"/>
      <c r="S22" s="5"/>
      <c r="T22" s="5"/>
      <c r="U22" s="5"/>
      <c r="V22" s="5"/>
      <c r="W22" s="5"/>
      <c r="X22" s="5"/>
      <c r="Y22" s="5"/>
      <c r="Z22" s="5"/>
    </row>
    <row r="23" customFormat="false" ht="13.5" hidden="false" customHeight="true" outlineLevel="0" collapsed="false">
      <c r="A23" s="39" t="n">
        <v>1</v>
      </c>
      <c r="B23" s="56" t="s">
        <v>83</v>
      </c>
      <c r="C23" s="56" t="s">
        <v>84</v>
      </c>
      <c r="D23" s="57"/>
      <c r="E23" s="57"/>
      <c r="F23" s="7" t="n">
        <f aca="false">COUNTIF(D23, "*")</f>
        <v>0</v>
      </c>
      <c r="G23" s="7" t="n">
        <f aca="false">COUNTIF('ISO27k Gap Analysis Questions'!M27, "1")</f>
        <v>0</v>
      </c>
      <c r="H23" s="5"/>
      <c r="I23" s="5"/>
      <c r="J23" s="5"/>
      <c r="K23" s="5"/>
      <c r="L23" s="5"/>
      <c r="M23" s="5"/>
      <c r="N23" s="5"/>
      <c r="O23" s="5"/>
      <c r="P23" s="5"/>
      <c r="Q23" s="5"/>
      <c r="R23" s="5"/>
      <c r="S23" s="5"/>
      <c r="T23" s="5"/>
      <c r="U23" s="5"/>
      <c r="V23" s="5"/>
      <c r="W23" s="5"/>
      <c r="X23" s="5"/>
      <c r="Y23" s="5"/>
      <c r="Z23" s="5"/>
    </row>
    <row r="24" customFormat="false" ht="13.5" hidden="false" customHeight="true" outlineLevel="0" collapsed="false">
      <c r="A24" s="39" t="n">
        <v>1</v>
      </c>
      <c r="B24" s="56" t="s">
        <v>86</v>
      </c>
      <c r="C24" s="56" t="s">
        <v>87</v>
      </c>
      <c r="D24" s="57"/>
      <c r="E24" s="57"/>
      <c r="F24" s="7" t="n">
        <f aca="false">COUNTIF(D24, "*")</f>
        <v>0</v>
      </c>
      <c r="G24" s="7" t="n">
        <f aca="false">COUNTIF('ISO27k Gap Analysis Questions'!M28, "1")</f>
        <v>0</v>
      </c>
      <c r="H24" s="5"/>
      <c r="I24" s="5"/>
      <c r="J24" s="5"/>
      <c r="K24" s="5"/>
      <c r="L24" s="5"/>
      <c r="M24" s="5"/>
      <c r="N24" s="5"/>
      <c r="O24" s="5"/>
      <c r="P24" s="5"/>
      <c r="Q24" s="5"/>
      <c r="R24" s="5"/>
      <c r="S24" s="5"/>
      <c r="T24" s="5"/>
      <c r="U24" s="5"/>
      <c r="V24" s="5"/>
      <c r="W24" s="5"/>
      <c r="X24" s="5"/>
      <c r="Y24" s="5"/>
      <c r="Z24" s="5"/>
    </row>
    <row r="25" customFormat="false" ht="13.5" hidden="false" customHeight="true" outlineLevel="0" collapsed="false">
      <c r="A25" s="39" t="n">
        <v>1</v>
      </c>
      <c r="B25" s="56" t="s">
        <v>89</v>
      </c>
      <c r="C25" s="56" t="s">
        <v>90</v>
      </c>
      <c r="D25" s="57"/>
      <c r="E25" s="57"/>
      <c r="F25" s="7" t="n">
        <f aca="false">COUNTIF(D25, "*")</f>
        <v>0</v>
      </c>
      <c r="G25" s="7" t="n">
        <f aca="false">COUNTIF('ISO27k Gap Analysis Questions'!M29, "1")</f>
        <v>0</v>
      </c>
      <c r="H25" s="5"/>
      <c r="I25" s="5"/>
      <c r="J25" s="5"/>
      <c r="K25" s="5"/>
      <c r="L25" s="5"/>
      <c r="M25" s="5"/>
      <c r="N25" s="5"/>
      <c r="O25" s="5"/>
      <c r="P25" s="5"/>
      <c r="Q25" s="5"/>
      <c r="R25" s="5"/>
      <c r="S25" s="5"/>
      <c r="T25" s="5"/>
      <c r="U25" s="5"/>
      <c r="V25" s="5"/>
      <c r="W25" s="5"/>
      <c r="X25" s="5"/>
      <c r="Y25" s="5"/>
      <c r="Z25" s="5"/>
    </row>
    <row r="26" customFormat="false" ht="13.5" hidden="false" customHeight="true" outlineLevel="0" collapsed="false">
      <c r="A26" s="39" t="n">
        <v>1</v>
      </c>
      <c r="B26" s="56" t="s">
        <v>92</v>
      </c>
      <c r="C26" s="56" t="s">
        <v>463</v>
      </c>
      <c r="D26" s="57"/>
      <c r="E26" s="57"/>
      <c r="F26" s="7" t="n">
        <f aca="false">COUNTIF(D26, "*")</f>
        <v>0</v>
      </c>
      <c r="G26" s="7" t="n">
        <f aca="false">COUNTIF('ISO27k Gap Analysis Questions'!M30, "1")</f>
        <v>0</v>
      </c>
      <c r="H26" s="5"/>
      <c r="I26" s="5"/>
      <c r="J26" s="5"/>
      <c r="K26" s="5"/>
      <c r="L26" s="5"/>
      <c r="M26" s="5"/>
      <c r="N26" s="5"/>
      <c r="O26" s="5"/>
      <c r="P26" s="5"/>
      <c r="Q26" s="5"/>
      <c r="R26" s="5"/>
      <c r="S26" s="5"/>
      <c r="T26" s="5"/>
      <c r="U26" s="5"/>
      <c r="V26" s="5"/>
      <c r="W26" s="5"/>
      <c r="X26" s="5"/>
      <c r="Y26" s="5"/>
      <c r="Z26" s="5"/>
    </row>
    <row r="27" customFormat="false" ht="39.75" hidden="false" customHeight="true" outlineLevel="0" collapsed="false">
      <c r="A27" s="39"/>
      <c r="B27" s="75" t="s">
        <v>95</v>
      </c>
      <c r="C27" s="75"/>
      <c r="D27" s="75"/>
      <c r="E27" s="75"/>
      <c r="F27" s="7"/>
      <c r="G27" s="7"/>
      <c r="H27" s="5"/>
      <c r="I27" s="5"/>
      <c r="J27" s="5"/>
      <c r="K27" s="5"/>
      <c r="L27" s="5"/>
      <c r="M27" s="5"/>
      <c r="N27" s="5"/>
      <c r="O27" s="5"/>
      <c r="P27" s="5"/>
      <c r="Q27" s="5"/>
      <c r="R27" s="5"/>
      <c r="S27" s="5"/>
      <c r="T27" s="5"/>
      <c r="U27" s="5"/>
      <c r="V27" s="5"/>
      <c r="W27" s="5"/>
      <c r="X27" s="5"/>
      <c r="Y27" s="5"/>
      <c r="Z27" s="5"/>
    </row>
    <row r="28" customFormat="false" ht="13.5" hidden="false" customHeight="true" outlineLevel="0" collapsed="false">
      <c r="A28" s="39" t="n">
        <v>1</v>
      </c>
      <c r="B28" s="56" t="s">
        <v>96</v>
      </c>
      <c r="C28" s="56" t="s">
        <v>97</v>
      </c>
      <c r="D28" s="57"/>
      <c r="E28" s="57"/>
      <c r="F28" s="7" t="n">
        <f aca="false">COUNTIF(D28, "*")</f>
        <v>0</v>
      </c>
      <c r="G28" s="7" t="n">
        <f aca="false">COUNTIF('ISO27k Gap Analysis Questions'!M32, "1")</f>
        <v>0</v>
      </c>
      <c r="H28" s="5"/>
      <c r="I28" s="5"/>
      <c r="J28" s="5"/>
      <c r="K28" s="5"/>
      <c r="L28" s="5"/>
      <c r="M28" s="5"/>
      <c r="N28" s="5"/>
      <c r="O28" s="5"/>
      <c r="P28" s="5"/>
      <c r="Q28" s="5"/>
      <c r="R28" s="5"/>
      <c r="S28" s="5"/>
      <c r="T28" s="5"/>
      <c r="U28" s="5"/>
      <c r="V28" s="5"/>
      <c r="W28" s="5"/>
      <c r="X28" s="5"/>
      <c r="Y28" s="5"/>
      <c r="Z28" s="5"/>
    </row>
    <row r="29" customFormat="false" ht="13.5" hidden="false" customHeight="true" outlineLevel="0" collapsed="false">
      <c r="A29" s="39" t="n">
        <v>1</v>
      </c>
      <c r="B29" s="56" t="s">
        <v>99</v>
      </c>
      <c r="C29" s="56" t="s">
        <v>100</v>
      </c>
      <c r="D29" s="57"/>
      <c r="E29" s="57"/>
      <c r="F29" s="7" t="n">
        <f aca="false">COUNTIF(D29, "*")</f>
        <v>0</v>
      </c>
      <c r="G29" s="7" t="n">
        <f aca="false">COUNTIF('ISO27k Gap Analysis Questions'!M33, "1")</f>
        <v>0</v>
      </c>
      <c r="H29" s="5"/>
      <c r="I29" s="5"/>
      <c r="J29" s="5"/>
      <c r="K29" s="5"/>
      <c r="L29" s="5"/>
      <c r="M29" s="5"/>
      <c r="N29" s="5"/>
      <c r="O29" s="5"/>
      <c r="P29" s="5"/>
      <c r="Q29" s="5"/>
      <c r="R29" s="5"/>
      <c r="S29" s="5"/>
      <c r="T29" s="5"/>
      <c r="U29" s="5"/>
      <c r="V29" s="5"/>
      <c r="W29" s="5"/>
      <c r="X29" s="5"/>
      <c r="Y29" s="5"/>
      <c r="Z29" s="5"/>
    </row>
    <row r="30" customFormat="false" ht="13.5" hidden="false" customHeight="true" outlineLevel="0" collapsed="false">
      <c r="A30" s="39" t="n">
        <v>1</v>
      </c>
      <c r="B30" s="56" t="s">
        <v>102</v>
      </c>
      <c r="C30" s="56" t="s">
        <v>103</v>
      </c>
      <c r="D30" s="57"/>
      <c r="E30" s="57"/>
      <c r="F30" s="7" t="n">
        <f aca="false">COUNTIF(D30, "*")</f>
        <v>0</v>
      </c>
      <c r="G30" s="7" t="n">
        <f aca="false">COUNTIF('ISO27k Gap Analysis Questions'!M34, "1")</f>
        <v>0</v>
      </c>
      <c r="H30" s="5"/>
      <c r="I30" s="5"/>
      <c r="J30" s="5"/>
      <c r="K30" s="5"/>
      <c r="L30" s="5"/>
      <c r="M30" s="5"/>
      <c r="N30" s="5"/>
      <c r="O30" s="5"/>
      <c r="P30" s="5"/>
      <c r="Q30" s="5"/>
      <c r="R30" s="5"/>
      <c r="S30" s="5"/>
      <c r="T30" s="5"/>
      <c r="U30" s="5"/>
      <c r="V30" s="5"/>
      <c r="W30" s="5"/>
      <c r="X30" s="5"/>
      <c r="Y30" s="5"/>
      <c r="Z30" s="5"/>
    </row>
    <row r="31" customFormat="false" ht="39.75" hidden="false" customHeight="true" outlineLevel="0" collapsed="false">
      <c r="A31" s="39"/>
      <c r="B31" s="75" t="s">
        <v>105</v>
      </c>
      <c r="C31" s="75"/>
      <c r="D31" s="75"/>
      <c r="E31" s="75"/>
      <c r="F31" s="7"/>
      <c r="G31" s="7"/>
      <c r="H31" s="5"/>
      <c r="I31" s="5"/>
      <c r="J31" s="5"/>
      <c r="K31" s="5"/>
      <c r="L31" s="5"/>
      <c r="M31" s="5"/>
      <c r="N31" s="5"/>
      <c r="O31" s="5"/>
      <c r="P31" s="5"/>
      <c r="Q31" s="5"/>
      <c r="R31" s="5"/>
      <c r="S31" s="5"/>
      <c r="T31" s="5"/>
      <c r="U31" s="5"/>
      <c r="V31" s="5"/>
      <c r="W31" s="5"/>
      <c r="X31" s="5"/>
      <c r="Y31" s="5"/>
      <c r="Z31" s="5"/>
    </row>
    <row r="32" customFormat="false" ht="13.5" hidden="false" customHeight="true" outlineLevel="0" collapsed="false">
      <c r="A32" s="39" t="n">
        <v>1</v>
      </c>
      <c r="B32" s="56" t="s">
        <v>106</v>
      </c>
      <c r="C32" s="56" t="s">
        <v>107</v>
      </c>
      <c r="D32" s="57"/>
      <c r="E32" s="57"/>
      <c r="F32" s="7" t="n">
        <f aca="false">COUNTIF(D32, "*")</f>
        <v>0</v>
      </c>
      <c r="G32" s="7" t="n">
        <f aca="false">COUNTIF('ISO27k Gap Analysis Questions'!M36, "1")</f>
        <v>0</v>
      </c>
      <c r="H32" s="5"/>
      <c r="I32" s="5"/>
      <c r="J32" s="5"/>
      <c r="K32" s="5"/>
      <c r="L32" s="5"/>
      <c r="M32" s="5"/>
      <c r="N32" s="5"/>
      <c r="O32" s="5"/>
      <c r="P32" s="5"/>
      <c r="Q32" s="5"/>
      <c r="R32" s="5"/>
      <c r="S32" s="5"/>
      <c r="T32" s="5"/>
      <c r="U32" s="5"/>
      <c r="V32" s="5"/>
      <c r="W32" s="5"/>
      <c r="X32" s="5"/>
      <c r="Y32" s="5"/>
      <c r="Z32" s="5"/>
    </row>
    <row r="33" customFormat="false" ht="13.5" hidden="false" customHeight="true" outlineLevel="0" collapsed="false">
      <c r="A33" s="39" t="n">
        <v>1</v>
      </c>
      <c r="B33" s="56" t="s">
        <v>109</v>
      </c>
      <c r="C33" s="56" t="s">
        <v>110</v>
      </c>
      <c r="D33" s="57"/>
      <c r="E33" s="57"/>
      <c r="F33" s="7" t="n">
        <f aca="false">COUNTIF(D33, "*")</f>
        <v>0</v>
      </c>
      <c r="G33" s="7" t="n">
        <f aca="false">COUNTIF('ISO27k Gap Analysis Questions'!M37, "1")</f>
        <v>0</v>
      </c>
      <c r="H33" s="5"/>
      <c r="I33" s="5"/>
      <c r="J33" s="5"/>
      <c r="K33" s="5"/>
      <c r="L33" s="5"/>
      <c r="M33" s="5"/>
      <c r="N33" s="5"/>
      <c r="O33" s="5"/>
      <c r="P33" s="5"/>
      <c r="Q33" s="5"/>
      <c r="R33" s="5"/>
      <c r="S33" s="5"/>
      <c r="T33" s="5"/>
      <c r="U33" s="5"/>
      <c r="V33" s="5"/>
      <c r="W33" s="5"/>
      <c r="X33" s="5"/>
      <c r="Y33" s="5"/>
      <c r="Z33" s="5"/>
    </row>
    <row r="34" customFormat="false" ht="13.5" hidden="false" customHeight="true" outlineLevel="0" collapsed="false">
      <c r="A34" s="39" t="n">
        <v>1</v>
      </c>
      <c r="B34" s="56" t="s">
        <v>112</v>
      </c>
      <c r="C34" s="56" t="s">
        <v>113</v>
      </c>
      <c r="D34" s="57"/>
      <c r="E34" s="57"/>
      <c r="F34" s="7" t="n">
        <f aca="false">COUNTIF(D34, "*")</f>
        <v>0</v>
      </c>
      <c r="G34" s="7" t="n">
        <f aca="false">COUNTIF('ISO27k Gap Analysis Questions'!M38, "1")</f>
        <v>0</v>
      </c>
      <c r="H34" s="5"/>
      <c r="I34" s="5"/>
      <c r="J34" s="5"/>
      <c r="K34" s="5"/>
      <c r="L34" s="5"/>
      <c r="M34" s="5"/>
      <c r="N34" s="5"/>
      <c r="O34" s="5"/>
      <c r="P34" s="5"/>
      <c r="Q34" s="5"/>
      <c r="R34" s="5"/>
      <c r="S34" s="5"/>
      <c r="T34" s="5"/>
      <c r="U34" s="5"/>
      <c r="V34" s="5"/>
      <c r="W34" s="5"/>
      <c r="X34" s="5"/>
      <c r="Y34" s="5"/>
      <c r="Z34" s="5"/>
    </row>
    <row r="35" customFormat="false" ht="13.5" hidden="false" customHeight="true" outlineLevel="0" collapsed="false">
      <c r="A35" s="39" t="n">
        <v>1</v>
      </c>
      <c r="B35" s="56" t="s">
        <v>115</v>
      </c>
      <c r="C35" s="56" t="s">
        <v>116</v>
      </c>
      <c r="D35" s="57"/>
      <c r="E35" s="57"/>
      <c r="F35" s="7" t="n">
        <f aca="false">COUNTIF(D35, "*")</f>
        <v>0</v>
      </c>
      <c r="G35" s="7" t="n">
        <f aca="false">COUNTIF('ISO27k Gap Analysis Questions'!M39, "1")</f>
        <v>0</v>
      </c>
      <c r="H35" s="5"/>
      <c r="I35" s="5"/>
      <c r="J35" s="5"/>
      <c r="K35" s="5"/>
      <c r="L35" s="5"/>
      <c r="M35" s="5"/>
      <c r="N35" s="5"/>
      <c r="O35" s="5"/>
      <c r="P35" s="5"/>
      <c r="Q35" s="5"/>
      <c r="R35" s="5"/>
      <c r="S35" s="5"/>
      <c r="T35" s="5"/>
      <c r="U35" s="5"/>
      <c r="V35" s="5"/>
      <c r="W35" s="5"/>
      <c r="X35" s="5"/>
      <c r="Y35" s="5"/>
      <c r="Z35" s="5"/>
    </row>
    <row r="36" customFormat="false" ht="13.5" hidden="false" customHeight="true" outlineLevel="0" collapsed="false">
      <c r="A36" s="39" t="n">
        <v>1</v>
      </c>
      <c r="B36" s="56" t="s">
        <v>118</v>
      </c>
      <c r="C36" s="56" t="s">
        <v>119</v>
      </c>
      <c r="D36" s="57"/>
      <c r="E36" s="57"/>
      <c r="F36" s="7" t="n">
        <f aca="false">COUNTIF(D36, "*")</f>
        <v>0</v>
      </c>
      <c r="G36" s="7" t="n">
        <f aca="false">COUNTIF('ISO27k Gap Analysis Questions'!M40, "1")</f>
        <v>0</v>
      </c>
      <c r="H36" s="5"/>
      <c r="I36" s="5"/>
      <c r="J36" s="5"/>
      <c r="K36" s="5"/>
      <c r="L36" s="5"/>
      <c r="M36" s="5"/>
      <c r="N36" s="5"/>
      <c r="O36" s="5"/>
      <c r="P36" s="5"/>
      <c r="Q36" s="5"/>
      <c r="R36" s="5"/>
      <c r="S36" s="5"/>
      <c r="T36" s="5"/>
      <c r="U36" s="5"/>
      <c r="V36" s="5"/>
      <c r="W36" s="5"/>
      <c r="X36" s="5"/>
      <c r="Y36" s="5"/>
      <c r="Z36" s="5"/>
    </row>
    <row r="37" customFormat="false" ht="39.75" hidden="false" customHeight="true" outlineLevel="0" collapsed="false">
      <c r="A37" s="39"/>
      <c r="B37" s="75" t="s">
        <v>121</v>
      </c>
      <c r="C37" s="75"/>
      <c r="D37" s="75"/>
      <c r="E37" s="75"/>
      <c r="F37" s="7"/>
      <c r="G37" s="7"/>
      <c r="H37" s="5"/>
      <c r="I37" s="5"/>
      <c r="J37" s="5"/>
      <c r="K37" s="5"/>
      <c r="L37" s="5"/>
      <c r="M37" s="5"/>
      <c r="N37" s="5"/>
      <c r="O37" s="5"/>
      <c r="P37" s="5"/>
      <c r="Q37" s="5"/>
      <c r="R37" s="5"/>
      <c r="S37" s="5"/>
      <c r="T37" s="5"/>
      <c r="U37" s="5"/>
      <c r="V37" s="5"/>
      <c r="W37" s="5"/>
      <c r="X37" s="5"/>
      <c r="Y37" s="5"/>
      <c r="Z37" s="5"/>
    </row>
    <row r="38" customFormat="false" ht="13.5" hidden="false" customHeight="true" outlineLevel="0" collapsed="false">
      <c r="A38" s="39" t="n">
        <v>1</v>
      </c>
      <c r="B38" s="56" t="s">
        <v>122</v>
      </c>
      <c r="C38" s="56" t="s">
        <v>123</v>
      </c>
      <c r="D38" s="57"/>
      <c r="E38" s="57"/>
      <c r="F38" s="7" t="n">
        <f aca="false">COUNTIF(D38, "*")</f>
        <v>0</v>
      </c>
      <c r="G38" s="7" t="n">
        <f aca="false">COUNTIF('ISO27k Gap Analysis Questions'!M42, "1")</f>
        <v>0</v>
      </c>
      <c r="H38" s="5"/>
      <c r="I38" s="5"/>
      <c r="J38" s="5"/>
      <c r="K38" s="5"/>
      <c r="L38" s="5"/>
      <c r="M38" s="5"/>
      <c r="N38" s="5"/>
      <c r="O38" s="5"/>
      <c r="P38" s="5"/>
      <c r="Q38" s="5"/>
      <c r="R38" s="5"/>
      <c r="S38" s="5"/>
      <c r="T38" s="5"/>
      <c r="U38" s="5"/>
      <c r="V38" s="5"/>
      <c r="W38" s="5"/>
      <c r="X38" s="5"/>
      <c r="Y38" s="5"/>
      <c r="Z38" s="5"/>
    </row>
    <row r="39" customFormat="false" ht="13.5" hidden="false" customHeight="true" outlineLevel="0" collapsed="false">
      <c r="A39" s="39" t="n">
        <v>1</v>
      </c>
      <c r="B39" s="66" t="s">
        <v>125</v>
      </c>
      <c r="C39" s="66" t="s">
        <v>126</v>
      </c>
      <c r="D39" s="76"/>
      <c r="E39" s="76"/>
      <c r="F39" s="7" t="n">
        <f aca="false">COUNTIF(D39, "*")</f>
        <v>0</v>
      </c>
      <c r="G39" s="7" t="n">
        <f aca="false">COUNTIF('ISO27k Gap Analysis Questions'!M43, "1")</f>
        <v>0</v>
      </c>
      <c r="H39" s="5"/>
      <c r="I39" s="5"/>
      <c r="J39" s="5"/>
      <c r="K39" s="5"/>
      <c r="L39" s="5"/>
      <c r="M39" s="5"/>
      <c r="N39" s="5"/>
      <c r="O39" s="5"/>
      <c r="P39" s="5"/>
      <c r="Q39" s="5"/>
      <c r="R39" s="5"/>
      <c r="S39" s="5"/>
      <c r="T39" s="5"/>
      <c r="U39" s="5"/>
      <c r="V39" s="5"/>
      <c r="W39" s="5"/>
      <c r="X39" s="5"/>
      <c r="Y39" s="5"/>
      <c r="Z39" s="5"/>
    </row>
    <row r="40" customFormat="false" ht="30" hidden="false" customHeight="true" outlineLevel="0" collapsed="false">
      <c r="A40" s="39"/>
      <c r="B40" s="49" t="s">
        <v>464</v>
      </c>
      <c r="C40" s="49"/>
      <c r="D40" s="49"/>
      <c r="E40" s="49"/>
      <c r="F40" s="7"/>
      <c r="G40" s="7"/>
      <c r="H40" s="5"/>
      <c r="I40" s="5"/>
      <c r="J40" s="5"/>
      <c r="K40" s="5"/>
      <c r="L40" s="5"/>
      <c r="M40" s="5"/>
      <c r="N40" s="5"/>
      <c r="O40" s="5"/>
      <c r="P40" s="5"/>
      <c r="Q40" s="5"/>
      <c r="R40" s="5"/>
      <c r="S40" s="5"/>
      <c r="T40" s="5"/>
      <c r="U40" s="5"/>
      <c r="V40" s="5"/>
      <c r="W40" s="5"/>
      <c r="X40" s="5"/>
      <c r="Y40" s="5"/>
      <c r="Z40" s="5"/>
    </row>
    <row r="41" customFormat="false" ht="39.75" hidden="false" customHeight="true" outlineLevel="0" collapsed="false">
      <c r="A41" s="39"/>
      <c r="B41" s="52" t="s">
        <v>128</v>
      </c>
      <c r="C41" s="52"/>
      <c r="D41" s="52"/>
      <c r="E41" s="52"/>
      <c r="F41" s="7"/>
      <c r="G41" s="7"/>
      <c r="H41" s="5"/>
      <c r="I41" s="5"/>
      <c r="J41" s="5"/>
      <c r="K41" s="5"/>
      <c r="L41" s="5"/>
      <c r="M41" s="5"/>
      <c r="N41" s="5"/>
      <c r="O41" s="5"/>
      <c r="P41" s="5"/>
      <c r="Q41" s="5"/>
      <c r="R41" s="5"/>
      <c r="S41" s="5"/>
      <c r="T41" s="5"/>
      <c r="U41" s="5"/>
      <c r="V41" s="5"/>
      <c r="W41" s="5"/>
      <c r="X41" s="5"/>
      <c r="Y41" s="5"/>
      <c r="Z41" s="5"/>
    </row>
    <row r="42" customFormat="false" ht="13.5" hidden="false" customHeight="true" outlineLevel="0" collapsed="false">
      <c r="A42" s="39" t="n">
        <v>1</v>
      </c>
      <c r="B42" s="77" t="s">
        <v>51</v>
      </c>
      <c r="C42" s="77" t="s">
        <v>129</v>
      </c>
      <c r="D42" s="78"/>
      <c r="E42" s="78"/>
      <c r="F42" s="7" t="n">
        <f aca="false">COUNTIF(D42, "*")</f>
        <v>0</v>
      </c>
      <c r="G42" s="7" t="n">
        <f aca="false">COUNTIF('ISO27k Gap Analysis Questions'!M46, "1")</f>
        <v>0</v>
      </c>
      <c r="H42" s="5"/>
      <c r="I42" s="5"/>
      <c r="J42" s="5"/>
      <c r="K42" s="5"/>
      <c r="L42" s="5"/>
      <c r="M42" s="5"/>
      <c r="N42" s="5"/>
      <c r="O42" s="5"/>
      <c r="P42" s="5"/>
      <c r="Q42" s="5"/>
      <c r="R42" s="5"/>
      <c r="S42" s="5"/>
      <c r="T42" s="5"/>
      <c r="U42" s="5"/>
      <c r="V42" s="5"/>
      <c r="W42" s="5"/>
      <c r="X42" s="5"/>
      <c r="Y42" s="5"/>
      <c r="Z42" s="5"/>
    </row>
    <row r="43" customFormat="false" ht="13.5" hidden="false" customHeight="true" outlineLevel="0" collapsed="false">
      <c r="A43" s="39" t="n">
        <v>1</v>
      </c>
      <c r="B43" s="60" t="s">
        <v>131</v>
      </c>
      <c r="C43" s="60" t="s">
        <v>132</v>
      </c>
      <c r="D43" s="61"/>
      <c r="E43" s="61"/>
      <c r="F43" s="7" t="n">
        <f aca="false">COUNTIF(D43, "*")</f>
        <v>0</v>
      </c>
      <c r="G43" s="7" t="n">
        <f aca="false">COUNTIF('ISO27k Gap Analysis Questions'!M47, "1")</f>
        <v>0</v>
      </c>
      <c r="H43" s="5"/>
      <c r="I43" s="5"/>
      <c r="J43" s="5"/>
      <c r="K43" s="5"/>
      <c r="L43" s="5"/>
      <c r="M43" s="5"/>
      <c r="N43" s="5"/>
      <c r="O43" s="5"/>
      <c r="P43" s="5"/>
      <c r="Q43" s="5"/>
      <c r="R43" s="5"/>
      <c r="S43" s="5"/>
      <c r="T43" s="5"/>
      <c r="U43" s="5"/>
      <c r="V43" s="5"/>
      <c r="W43" s="5"/>
      <c r="X43" s="5"/>
      <c r="Y43" s="5"/>
      <c r="Z43" s="5"/>
    </row>
    <row r="44" customFormat="false" ht="13.5" hidden="false" customHeight="true" outlineLevel="0" collapsed="false">
      <c r="A44" s="39" t="n">
        <v>1</v>
      </c>
      <c r="B44" s="60" t="s">
        <v>134</v>
      </c>
      <c r="C44" s="60" t="s">
        <v>135</v>
      </c>
      <c r="D44" s="61"/>
      <c r="E44" s="61"/>
      <c r="F44" s="7" t="n">
        <f aca="false">COUNTIF(D44, "*")</f>
        <v>0</v>
      </c>
      <c r="G44" s="7" t="n">
        <f aca="false">COUNTIF('ISO27k Gap Analysis Questions'!M48, "1")</f>
        <v>0</v>
      </c>
      <c r="H44" s="5"/>
      <c r="I44" s="5"/>
      <c r="J44" s="5"/>
      <c r="K44" s="5"/>
      <c r="L44" s="5"/>
      <c r="M44" s="5"/>
      <c r="N44" s="5"/>
      <c r="O44" s="5"/>
      <c r="P44" s="5"/>
      <c r="Q44" s="5"/>
      <c r="R44" s="5"/>
      <c r="S44" s="5"/>
      <c r="T44" s="5"/>
      <c r="U44" s="5"/>
      <c r="V44" s="5"/>
      <c r="W44" s="5"/>
      <c r="X44" s="5"/>
      <c r="Y44" s="5"/>
      <c r="Z44" s="5"/>
    </row>
    <row r="45" customFormat="false" ht="13.5" hidden="false" customHeight="true" outlineLevel="0" collapsed="false">
      <c r="A45" s="39" t="n">
        <v>1</v>
      </c>
      <c r="B45" s="56" t="n">
        <v>5.2</v>
      </c>
      <c r="C45" s="56" t="s">
        <v>137</v>
      </c>
      <c r="D45" s="57"/>
      <c r="E45" s="57"/>
      <c r="F45" s="7" t="n">
        <f aca="false">COUNTIF(D45, "*")</f>
        <v>0</v>
      </c>
      <c r="G45" s="7" t="n">
        <f aca="false">COUNTIF('ISO27k Gap Analysis Questions'!M49, "1")</f>
        <v>0</v>
      </c>
      <c r="H45" s="5"/>
      <c r="I45" s="5"/>
      <c r="J45" s="5"/>
      <c r="K45" s="5"/>
      <c r="L45" s="5"/>
      <c r="M45" s="5"/>
      <c r="N45" s="5"/>
      <c r="O45" s="5"/>
      <c r="P45" s="5"/>
      <c r="Q45" s="5"/>
      <c r="R45" s="5"/>
      <c r="S45" s="5"/>
      <c r="T45" s="5"/>
      <c r="U45" s="5"/>
      <c r="V45" s="5"/>
      <c r="W45" s="5"/>
      <c r="X45" s="5"/>
      <c r="Y45" s="5"/>
      <c r="Z45" s="5"/>
    </row>
    <row r="46" customFormat="false" ht="13.5" hidden="false" customHeight="true" outlineLevel="0" collapsed="false">
      <c r="A46" s="39" t="n">
        <v>1</v>
      </c>
      <c r="B46" s="60" t="n">
        <v>5.3</v>
      </c>
      <c r="C46" s="60" t="s">
        <v>139</v>
      </c>
      <c r="D46" s="61"/>
      <c r="E46" s="61"/>
      <c r="F46" s="7" t="n">
        <f aca="false">COUNTIF(D46, "*")</f>
        <v>0</v>
      </c>
      <c r="G46" s="7" t="n">
        <f aca="false">COUNTIF('ISO27k Gap Analysis Questions'!M50, "1")</f>
        <v>0</v>
      </c>
      <c r="H46" s="5"/>
      <c r="I46" s="5"/>
      <c r="J46" s="5"/>
      <c r="K46" s="5"/>
      <c r="L46" s="5"/>
      <c r="M46" s="5"/>
      <c r="N46" s="5"/>
      <c r="O46" s="5"/>
      <c r="P46" s="5"/>
      <c r="Q46" s="5"/>
      <c r="R46" s="5"/>
      <c r="S46" s="5"/>
      <c r="T46" s="5"/>
      <c r="U46" s="5"/>
      <c r="V46" s="5"/>
      <c r="W46" s="5"/>
      <c r="X46" s="5"/>
      <c r="Y46" s="5"/>
      <c r="Z46" s="5"/>
    </row>
    <row r="47" customFormat="false" ht="13.5" hidden="false" customHeight="true" outlineLevel="0" collapsed="false">
      <c r="A47" s="39" t="n">
        <v>1</v>
      </c>
      <c r="B47" s="56" t="n">
        <v>5.4</v>
      </c>
      <c r="C47" s="56" t="s">
        <v>141</v>
      </c>
      <c r="D47" s="57"/>
      <c r="E47" s="57"/>
      <c r="F47" s="7" t="n">
        <f aca="false">COUNTIF(D47, "*")</f>
        <v>0</v>
      </c>
      <c r="G47" s="7" t="n">
        <f aca="false">COUNTIF('ISO27k Gap Analysis Questions'!M51, "1")</f>
        <v>0</v>
      </c>
      <c r="H47" s="5"/>
      <c r="I47" s="5"/>
      <c r="J47" s="5"/>
      <c r="K47" s="5"/>
      <c r="L47" s="5"/>
      <c r="M47" s="5"/>
      <c r="N47" s="5"/>
      <c r="O47" s="5"/>
      <c r="P47" s="5"/>
      <c r="Q47" s="5"/>
      <c r="R47" s="5"/>
      <c r="S47" s="5"/>
      <c r="T47" s="5"/>
      <c r="U47" s="5"/>
      <c r="V47" s="5"/>
      <c r="W47" s="5"/>
      <c r="X47" s="5"/>
      <c r="Y47" s="5"/>
      <c r="Z47" s="5"/>
    </row>
    <row r="48" customFormat="false" ht="13.5" hidden="false" customHeight="true" outlineLevel="0" collapsed="false">
      <c r="A48" s="39" t="n">
        <v>1</v>
      </c>
      <c r="B48" s="60" t="n">
        <v>5.5</v>
      </c>
      <c r="C48" s="60" t="s">
        <v>143</v>
      </c>
      <c r="D48" s="61"/>
      <c r="E48" s="61"/>
      <c r="F48" s="7" t="n">
        <f aca="false">COUNTIF(D48, "*")</f>
        <v>0</v>
      </c>
      <c r="G48" s="7" t="n">
        <f aca="false">COUNTIF('ISO27k Gap Analysis Questions'!M52, "1")</f>
        <v>0</v>
      </c>
      <c r="H48" s="5"/>
      <c r="I48" s="5"/>
      <c r="J48" s="5"/>
      <c r="K48" s="5"/>
      <c r="L48" s="5"/>
      <c r="M48" s="5"/>
      <c r="N48" s="5"/>
      <c r="O48" s="5"/>
      <c r="P48" s="5"/>
      <c r="Q48" s="5"/>
      <c r="R48" s="5"/>
      <c r="S48" s="5"/>
      <c r="T48" s="5"/>
      <c r="U48" s="5"/>
      <c r="V48" s="5"/>
      <c r="W48" s="5"/>
      <c r="X48" s="5"/>
      <c r="Y48" s="5"/>
      <c r="Z48" s="5"/>
    </row>
    <row r="49" customFormat="false" ht="13.5" hidden="false" customHeight="true" outlineLevel="0" collapsed="false">
      <c r="A49" s="39" t="n">
        <v>1</v>
      </c>
      <c r="B49" s="56" t="n">
        <v>5.6</v>
      </c>
      <c r="C49" s="56" t="s">
        <v>145</v>
      </c>
      <c r="D49" s="57"/>
      <c r="E49" s="57"/>
      <c r="F49" s="7" t="n">
        <f aca="false">COUNTIF(D49, "*")</f>
        <v>0</v>
      </c>
      <c r="G49" s="7" t="n">
        <f aca="false">COUNTIF('ISO27k Gap Analysis Questions'!M53, "1")</f>
        <v>0</v>
      </c>
      <c r="H49" s="5"/>
      <c r="I49" s="5"/>
      <c r="J49" s="5"/>
      <c r="K49" s="5"/>
      <c r="L49" s="5"/>
      <c r="M49" s="5"/>
      <c r="N49" s="5"/>
      <c r="O49" s="5"/>
      <c r="P49" s="5"/>
      <c r="Q49" s="5"/>
      <c r="R49" s="5"/>
      <c r="S49" s="5"/>
      <c r="T49" s="5"/>
      <c r="U49" s="5"/>
      <c r="V49" s="5"/>
      <c r="W49" s="5"/>
      <c r="X49" s="5"/>
      <c r="Y49" s="5"/>
      <c r="Z49" s="5"/>
    </row>
    <row r="50" customFormat="false" ht="13.5" hidden="false" customHeight="true" outlineLevel="0" collapsed="false">
      <c r="A50" s="39" t="n">
        <v>1</v>
      </c>
      <c r="B50" s="60" t="s">
        <v>147</v>
      </c>
      <c r="C50" s="60" t="s">
        <v>148</v>
      </c>
      <c r="D50" s="61"/>
      <c r="E50" s="61"/>
      <c r="F50" s="7" t="n">
        <f aca="false">COUNTIF(D50, "*")</f>
        <v>0</v>
      </c>
      <c r="G50" s="7" t="n">
        <f aca="false">COUNTIF('ISO27k Gap Analysis Questions'!M54, "1")</f>
        <v>0</v>
      </c>
      <c r="H50" s="5"/>
      <c r="I50" s="5"/>
      <c r="J50" s="5"/>
      <c r="K50" s="5"/>
      <c r="L50" s="5"/>
      <c r="M50" s="5"/>
      <c r="N50" s="5"/>
      <c r="O50" s="5"/>
      <c r="P50" s="5"/>
      <c r="Q50" s="5"/>
      <c r="R50" s="5"/>
      <c r="S50" s="5"/>
      <c r="T50" s="5"/>
      <c r="U50" s="5"/>
      <c r="V50" s="5"/>
      <c r="W50" s="5"/>
      <c r="X50" s="5"/>
      <c r="Y50" s="5"/>
      <c r="Z50" s="5"/>
    </row>
    <row r="51" customFormat="false" ht="13.5" hidden="false" customHeight="true" outlineLevel="0" collapsed="false">
      <c r="A51" s="39" t="n">
        <v>1</v>
      </c>
      <c r="B51" s="60" t="s">
        <v>150</v>
      </c>
      <c r="C51" s="60" t="s">
        <v>151</v>
      </c>
      <c r="D51" s="61"/>
      <c r="E51" s="61"/>
      <c r="F51" s="7" t="n">
        <f aca="false">COUNTIF(D51, "*")</f>
        <v>0</v>
      </c>
      <c r="G51" s="7" t="n">
        <f aca="false">COUNTIF('ISO27k Gap Analysis Questions'!M55, "1")</f>
        <v>0</v>
      </c>
      <c r="H51" s="5"/>
      <c r="I51" s="5"/>
      <c r="J51" s="5"/>
      <c r="K51" s="5"/>
      <c r="L51" s="5"/>
      <c r="M51" s="5"/>
      <c r="N51" s="5"/>
      <c r="O51" s="5"/>
      <c r="P51" s="5"/>
      <c r="Q51" s="5"/>
      <c r="R51" s="5"/>
      <c r="S51" s="5"/>
      <c r="T51" s="5"/>
      <c r="U51" s="5"/>
      <c r="V51" s="5"/>
      <c r="W51" s="5"/>
      <c r="X51" s="5"/>
      <c r="Y51" s="5"/>
      <c r="Z51" s="5"/>
    </row>
    <row r="52" customFormat="false" ht="13.5" hidden="false" customHeight="true" outlineLevel="0" collapsed="false">
      <c r="A52" s="39" t="n">
        <v>1</v>
      </c>
      <c r="B52" s="60" t="s">
        <v>153</v>
      </c>
      <c r="C52" s="60" t="s">
        <v>154</v>
      </c>
      <c r="D52" s="61"/>
      <c r="E52" s="61"/>
      <c r="F52" s="7" t="n">
        <f aca="false">COUNTIF(D52, "*")</f>
        <v>0</v>
      </c>
      <c r="G52" s="7" t="n">
        <f aca="false">COUNTIF('ISO27k Gap Analysis Questions'!M56, "1")</f>
        <v>0</v>
      </c>
      <c r="H52" s="5"/>
      <c r="I52" s="5"/>
      <c r="J52" s="5"/>
      <c r="K52" s="5"/>
      <c r="L52" s="5"/>
      <c r="M52" s="5"/>
      <c r="N52" s="5"/>
      <c r="O52" s="5"/>
      <c r="P52" s="5"/>
      <c r="Q52" s="5"/>
      <c r="R52" s="5"/>
      <c r="S52" s="5"/>
      <c r="T52" s="5"/>
      <c r="U52" s="5"/>
      <c r="V52" s="5"/>
      <c r="W52" s="5"/>
      <c r="X52" s="5"/>
      <c r="Y52" s="5"/>
      <c r="Z52" s="5"/>
    </row>
    <row r="53" customFormat="false" ht="13.5" hidden="false" customHeight="true" outlineLevel="0" collapsed="false">
      <c r="A53" s="39" t="n">
        <v>1</v>
      </c>
      <c r="B53" s="56" t="s">
        <v>156</v>
      </c>
      <c r="C53" s="56" t="s">
        <v>157</v>
      </c>
      <c r="D53" s="57"/>
      <c r="E53" s="57"/>
      <c r="F53" s="7" t="n">
        <f aca="false">COUNTIF(D53, "*")</f>
        <v>0</v>
      </c>
      <c r="G53" s="7" t="n">
        <f aca="false">COUNTIF('ISO27k Gap Analysis Questions'!M57, "1")</f>
        <v>0</v>
      </c>
      <c r="H53" s="5"/>
      <c r="I53" s="5"/>
      <c r="J53" s="5"/>
      <c r="K53" s="5"/>
      <c r="L53" s="5"/>
      <c r="M53" s="5"/>
      <c r="N53" s="5"/>
      <c r="O53" s="5"/>
      <c r="P53" s="5"/>
      <c r="Q53" s="5"/>
      <c r="R53" s="5"/>
      <c r="S53" s="5"/>
      <c r="T53" s="5"/>
      <c r="U53" s="5"/>
      <c r="V53" s="5"/>
      <c r="W53" s="5"/>
      <c r="X53" s="5"/>
      <c r="Y53" s="5"/>
      <c r="Z53" s="5"/>
    </row>
    <row r="54" customFormat="false" ht="13.5" hidden="false" customHeight="true" outlineLevel="0" collapsed="false">
      <c r="A54" s="39" t="n">
        <v>1</v>
      </c>
      <c r="B54" s="56" t="s">
        <v>159</v>
      </c>
      <c r="C54" s="56" t="s">
        <v>160</v>
      </c>
      <c r="D54" s="57"/>
      <c r="E54" s="57"/>
      <c r="F54" s="7" t="n">
        <f aca="false">COUNTIF(D54, "*")</f>
        <v>0</v>
      </c>
      <c r="G54" s="7" t="n">
        <f aca="false">COUNTIF('ISO27k Gap Analysis Questions'!M58, "1")</f>
        <v>0</v>
      </c>
      <c r="H54" s="5"/>
      <c r="I54" s="5"/>
      <c r="J54" s="5"/>
      <c r="K54" s="5"/>
      <c r="L54" s="5"/>
      <c r="M54" s="5"/>
      <c r="N54" s="5"/>
      <c r="O54" s="5"/>
      <c r="P54" s="5"/>
      <c r="Q54" s="5"/>
      <c r="R54" s="5"/>
      <c r="S54" s="5"/>
      <c r="T54" s="5"/>
      <c r="U54" s="5"/>
      <c r="V54" s="5"/>
      <c r="W54" s="5"/>
      <c r="X54" s="5"/>
      <c r="Y54" s="5"/>
      <c r="Z54" s="5"/>
    </row>
    <row r="55" customFormat="false" ht="13.5" hidden="false" customHeight="true" outlineLevel="0" collapsed="false">
      <c r="A55" s="39" t="n">
        <v>1</v>
      </c>
      <c r="B55" s="56" t="s">
        <v>162</v>
      </c>
      <c r="C55" s="56" t="s">
        <v>163</v>
      </c>
      <c r="D55" s="57"/>
      <c r="E55" s="57"/>
      <c r="F55" s="7" t="n">
        <f aca="false">COUNTIF(D55, "*")</f>
        <v>0</v>
      </c>
      <c r="G55" s="7" t="n">
        <f aca="false">COUNTIF('ISO27k Gap Analysis Questions'!M59, "1")</f>
        <v>0</v>
      </c>
      <c r="H55" s="5"/>
      <c r="I55" s="5"/>
      <c r="J55" s="5"/>
      <c r="K55" s="5"/>
      <c r="L55" s="5"/>
      <c r="M55" s="5"/>
      <c r="N55" s="5"/>
      <c r="O55" s="5"/>
      <c r="P55" s="5"/>
      <c r="Q55" s="5"/>
      <c r="R55" s="5"/>
      <c r="S55" s="5"/>
      <c r="T55" s="5"/>
      <c r="U55" s="5"/>
      <c r="V55" s="5"/>
      <c r="W55" s="5"/>
      <c r="X55" s="5"/>
      <c r="Y55" s="5"/>
      <c r="Z55" s="5"/>
    </row>
    <row r="56" customFormat="false" ht="13.5" hidden="false" customHeight="true" outlineLevel="0" collapsed="false">
      <c r="A56" s="39" t="n">
        <v>1</v>
      </c>
      <c r="B56" s="60" t="s">
        <v>165</v>
      </c>
      <c r="C56" s="60" t="s">
        <v>166</v>
      </c>
      <c r="D56" s="61"/>
      <c r="E56" s="61"/>
      <c r="F56" s="7" t="n">
        <f aca="false">COUNTIF(D56, "*")</f>
        <v>0</v>
      </c>
      <c r="G56" s="7" t="n">
        <f aca="false">COUNTIF('ISO27k Gap Analysis Questions'!M60, "1")</f>
        <v>0</v>
      </c>
      <c r="H56" s="5"/>
      <c r="I56" s="5"/>
      <c r="J56" s="5"/>
      <c r="K56" s="5"/>
      <c r="L56" s="5"/>
      <c r="M56" s="5"/>
      <c r="N56" s="5"/>
      <c r="O56" s="5"/>
      <c r="P56" s="5"/>
      <c r="Q56" s="5"/>
      <c r="R56" s="5"/>
      <c r="S56" s="5"/>
      <c r="T56" s="5"/>
      <c r="U56" s="5"/>
      <c r="V56" s="5"/>
      <c r="W56" s="5"/>
      <c r="X56" s="5"/>
      <c r="Y56" s="5"/>
      <c r="Z56" s="5"/>
    </row>
    <row r="57" customFormat="false" ht="13.5" hidden="false" customHeight="true" outlineLevel="0" collapsed="false">
      <c r="A57" s="39" t="n">
        <v>1</v>
      </c>
      <c r="B57" s="60" t="s">
        <v>168</v>
      </c>
      <c r="C57" s="60" t="s">
        <v>169</v>
      </c>
      <c r="D57" s="61"/>
      <c r="E57" s="61"/>
      <c r="F57" s="7" t="n">
        <f aca="false">COUNTIF(D57, "*")</f>
        <v>0</v>
      </c>
      <c r="G57" s="7" t="n">
        <f aca="false">COUNTIF('ISO27k Gap Analysis Questions'!M61, "1")</f>
        <v>0</v>
      </c>
      <c r="H57" s="5"/>
      <c r="I57" s="5"/>
      <c r="J57" s="5"/>
      <c r="K57" s="5"/>
      <c r="L57" s="5"/>
      <c r="M57" s="5"/>
      <c r="N57" s="5"/>
      <c r="O57" s="5"/>
      <c r="P57" s="5"/>
      <c r="Q57" s="5"/>
      <c r="R57" s="5"/>
      <c r="S57" s="5"/>
      <c r="T57" s="5"/>
      <c r="U57" s="5"/>
      <c r="V57" s="5"/>
      <c r="W57" s="5"/>
      <c r="X57" s="5"/>
      <c r="Y57" s="5"/>
      <c r="Z57" s="5"/>
    </row>
    <row r="58" customFormat="false" ht="13.5" hidden="false" customHeight="true" outlineLevel="0" collapsed="false">
      <c r="A58" s="39" t="n">
        <v>1</v>
      </c>
      <c r="B58" s="60" t="s">
        <v>171</v>
      </c>
      <c r="C58" s="60" t="s">
        <v>172</v>
      </c>
      <c r="D58" s="61"/>
      <c r="E58" s="61"/>
      <c r="F58" s="7" t="n">
        <f aca="false">COUNTIF(D58, "*")</f>
        <v>0</v>
      </c>
      <c r="G58" s="7" t="n">
        <f aca="false">COUNTIF('ISO27k Gap Analysis Questions'!M62, "1")</f>
        <v>0</v>
      </c>
      <c r="H58" s="5"/>
      <c r="I58" s="5"/>
      <c r="J58" s="5"/>
      <c r="K58" s="5"/>
      <c r="L58" s="5"/>
      <c r="M58" s="5"/>
      <c r="N58" s="5"/>
      <c r="O58" s="5"/>
      <c r="P58" s="5"/>
      <c r="Q58" s="5"/>
      <c r="R58" s="5"/>
      <c r="S58" s="5"/>
      <c r="T58" s="5"/>
      <c r="U58" s="5"/>
      <c r="V58" s="5"/>
      <c r="W58" s="5"/>
      <c r="X58" s="5"/>
      <c r="Y58" s="5"/>
      <c r="Z58" s="5"/>
    </row>
    <row r="59" customFormat="false" ht="13.5" hidden="false" customHeight="true" outlineLevel="0" collapsed="false">
      <c r="A59" s="39" t="n">
        <v>1</v>
      </c>
      <c r="B59" s="60" t="s">
        <v>174</v>
      </c>
      <c r="C59" s="60" t="s">
        <v>175</v>
      </c>
      <c r="D59" s="61"/>
      <c r="E59" s="61"/>
      <c r="F59" s="7" t="n">
        <f aca="false">COUNTIF(D59, "*")</f>
        <v>0</v>
      </c>
      <c r="G59" s="7" t="n">
        <f aca="false">COUNTIF('ISO27k Gap Analysis Questions'!M63, "1")</f>
        <v>0</v>
      </c>
      <c r="H59" s="5"/>
      <c r="I59" s="5"/>
      <c r="J59" s="5"/>
      <c r="K59" s="5"/>
      <c r="L59" s="5"/>
      <c r="M59" s="5"/>
      <c r="N59" s="5"/>
      <c r="O59" s="5"/>
      <c r="P59" s="5"/>
      <c r="Q59" s="5"/>
      <c r="R59" s="5"/>
      <c r="S59" s="5"/>
      <c r="T59" s="5"/>
      <c r="U59" s="5"/>
      <c r="V59" s="5"/>
      <c r="W59" s="5"/>
      <c r="X59" s="5"/>
      <c r="Y59" s="5"/>
      <c r="Z59" s="5"/>
    </row>
    <row r="60" customFormat="false" ht="13.5" hidden="false" customHeight="true" outlineLevel="0" collapsed="false">
      <c r="A60" s="39" t="n">
        <v>1</v>
      </c>
      <c r="B60" s="60" t="s">
        <v>177</v>
      </c>
      <c r="C60" s="60" t="s">
        <v>178</v>
      </c>
      <c r="D60" s="61"/>
      <c r="E60" s="61"/>
      <c r="F60" s="7" t="n">
        <f aca="false">COUNTIF(D60, "*")</f>
        <v>0</v>
      </c>
      <c r="G60" s="7" t="n">
        <f aca="false">COUNTIF('ISO27k Gap Analysis Questions'!M64, "1")</f>
        <v>0</v>
      </c>
      <c r="H60" s="5"/>
      <c r="I60" s="5"/>
      <c r="J60" s="5"/>
      <c r="K60" s="5"/>
      <c r="L60" s="5"/>
      <c r="M60" s="5"/>
      <c r="N60" s="5"/>
      <c r="O60" s="5"/>
      <c r="P60" s="5"/>
      <c r="Q60" s="5"/>
      <c r="R60" s="5"/>
      <c r="S60" s="5"/>
      <c r="T60" s="5"/>
      <c r="U60" s="5"/>
      <c r="V60" s="5"/>
      <c r="W60" s="5"/>
      <c r="X60" s="5"/>
      <c r="Y60" s="5"/>
      <c r="Z60" s="5"/>
    </row>
    <row r="61" customFormat="false" ht="13.5" hidden="false" customHeight="true" outlineLevel="0" collapsed="false">
      <c r="A61" s="39" t="n">
        <v>1</v>
      </c>
      <c r="B61" s="60" t="s">
        <v>180</v>
      </c>
      <c r="C61" s="60" t="s">
        <v>181</v>
      </c>
      <c r="D61" s="61"/>
      <c r="E61" s="61"/>
      <c r="F61" s="7" t="n">
        <f aca="false">COUNTIF(D61, "*")</f>
        <v>0</v>
      </c>
      <c r="G61" s="7" t="n">
        <f aca="false">COUNTIF('ISO27k Gap Analysis Questions'!M65, "1")</f>
        <v>0</v>
      </c>
      <c r="H61" s="5"/>
      <c r="I61" s="5"/>
      <c r="J61" s="5"/>
      <c r="K61" s="5"/>
      <c r="L61" s="5"/>
      <c r="M61" s="5"/>
      <c r="N61" s="5"/>
      <c r="O61" s="5"/>
      <c r="P61" s="5"/>
      <c r="Q61" s="5"/>
      <c r="R61" s="5"/>
      <c r="S61" s="5"/>
      <c r="T61" s="5"/>
      <c r="U61" s="5"/>
      <c r="V61" s="5"/>
      <c r="W61" s="5"/>
      <c r="X61" s="5"/>
      <c r="Y61" s="5"/>
      <c r="Z61" s="5"/>
    </row>
    <row r="62" customFormat="false" ht="13.5" hidden="false" customHeight="true" outlineLevel="0" collapsed="false">
      <c r="A62" s="39" t="n">
        <v>1</v>
      </c>
      <c r="B62" s="56" t="s">
        <v>183</v>
      </c>
      <c r="C62" s="56" t="s">
        <v>184</v>
      </c>
      <c r="D62" s="57"/>
      <c r="E62" s="57"/>
      <c r="F62" s="7" t="n">
        <f aca="false">COUNTIF(D62, "*")</f>
        <v>0</v>
      </c>
      <c r="G62" s="7" t="n">
        <f aca="false">COUNTIF('ISO27k Gap Analysis Questions'!M66, "1")</f>
        <v>0</v>
      </c>
      <c r="H62" s="5"/>
      <c r="I62" s="5"/>
      <c r="J62" s="5"/>
      <c r="K62" s="5"/>
      <c r="L62" s="5"/>
      <c r="M62" s="5"/>
      <c r="N62" s="5"/>
      <c r="O62" s="5"/>
      <c r="P62" s="5"/>
      <c r="Q62" s="5"/>
      <c r="R62" s="5"/>
      <c r="S62" s="5"/>
      <c r="T62" s="5"/>
      <c r="U62" s="5"/>
      <c r="V62" s="5"/>
      <c r="W62" s="5"/>
      <c r="X62" s="5"/>
      <c r="Y62" s="5"/>
      <c r="Z62" s="5"/>
    </row>
    <row r="63" customFormat="false" ht="13.5" hidden="false" customHeight="true" outlineLevel="0" collapsed="false">
      <c r="A63" s="39" t="n">
        <v>1</v>
      </c>
      <c r="B63" s="56" t="s">
        <v>186</v>
      </c>
      <c r="C63" s="56" t="s">
        <v>187</v>
      </c>
      <c r="D63" s="57"/>
      <c r="E63" s="57"/>
      <c r="F63" s="7" t="n">
        <f aca="false">COUNTIF(D63, "*")</f>
        <v>0</v>
      </c>
      <c r="G63" s="7" t="n">
        <f aca="false">COUNTIF('ISO27k Gap Analysis Questions'!M67, "1")</f>
        <v>0</v>
      </c>
      <c r="H63" s="5"/>
      <c r="I63" s="5"/>
      <c r="J63" s="5"/>
      <c r="K63" s="5"/>
      <c r="L63" s="5"/>
      <c r="M63" s="5"/>
      <c r="N63" s="5"/>
      <c r="O63" s="5"/>
      <c r="P63" s="5"/>
      <c r="Q63" s="5"/>
      <c r="R63" s="5"/>
      <c r="S63" s="5"/>
      <c r="T63" s="5"/>
      <c r="U63" s="5"/>
      <c r="V63" s="5"/>
      <c r="W63" s="5"/>
      <c r="X63" s="5"/>
      <c r="Y63" s="5"/>
      <c r="Z63" s="5"/>
    </row>
    <row r="64" customFormat="false" ht="13.5" hidden="false" customHeight="true" outlineLevel="0" collapsed="false">
      <c r="A64" s="39" t="n">
        <v>1</v>
      </c>
      <c r="B64" s="56" t="s">
        <v>189</v>
      </c>
      <c r="C64" s="56" t="s">
        <v>190</v>
      </c>
      <c r="D64" s="57"/>
      <c r="E64" s="57"/>
      <c r="F64" s="7" t="n">
        <f aca="false">COUNTIF(D64, "*")</f>
        <v>0</v>
      </c>
      <c r="G64" s="7" t="n">
        <f aca="false">COUNTIF('ISO27k Gap Analysis Questions'!M68, "1")</f>
        <v>0</v>
      </c>
      <c r="H64" s="5"/>
      <c r="I64" s="5"/>
      <c r="J64" s="5"/>
      <c r="K64" s="5"/>
      <c r="L64" s="5"/>
      <c r="M64" s="5"/>
      <c r="N64" s="5"/>
      <c r="O64" s="5"/>
      <c r="P64" s="5"/>
      <c r="Q64" s="5"/>
      <c r="R64" s="5"/>
      <c r="S64" s="5"/>
      <c r="T64" s="5"/>
      <c r="U64" s="5"/>
      <c r="V64" s="5"/>
      <c r="W64" s="5"/>
      <c r="X64" s="5"/>
      <c r="Y64" s="5"/>
      <c r="Z64" s="5"/>
    </row>
    <row r="65" customFormat="false" ht="13.5" hidden="false" customHeight="true" outlineLevel="0" collapsed="false">
      <c r="A65" s="39" t="n">
        <v>1</v>
      </c>
      <c r="B65" s="60" t="s">
        <v>192</v>
      </c>
      <c r="C65" s="60" t="s">
        <v>193</v>
      </c>
      <c r="D65" s="61"/>
      <c r="E65" s="61"/>
      <c r="F65" s="7" t="n">
        <f aca="false">COUNTIF(D65, "*")</f>
        <v>0</v>
      </c>
      <c r="G65" s="7" t="n">
        <f aca="false">COUNTIF('ISO27k Gap Analysis Questions'!M69, "1")</f>
        <v>0</v>
      </c>
      <c r="H65" s="5"/>
      <c r="I65" s="5"/>
      <c r="J65" s="5"/>
      <c r="K65" s="5"/>
      <c r="L65" s="5"/>
      <c r="M65" s="5"/>
      <c r="N65" s="5"/>
      <c r="O65" s="5"/>
      <c r="P65" s="5"/>
      <c r="Q65" s="5"/>
      <c r="R65" s="5"/>
      <c r="S65" s="5"/>
      <c r="T65" s="5"/>
      <c r="U65" s="5"/>
      <c r="V65" s="5"/>
      <c r="W65" s="5"/>
      <c r="X65" s="5"/>
      <c r="Y65" s="5"/>
      <c r="Z65" s="5"/>
    </row>
    <row r="66" customFormat="false" ht="13.5" hidden="false" customHeight="true" outlineLevel="0" collapsed="false">
      <c r="A66" s="39" t="n">
        <v>1</v>
      </c>
      <c r="B66" s="60" t="s">
        <v>195</v>
      </c>
      <c r="C66" s="60" t="s">
        <v>196</v>
      </c>
      <c r="D66" s="61"/>
      <c r="E66" s="61"/>
      <c r="F66" s="7" t="n">
        <f aca="false">COUNTIF(D66, "*")</f>
        <v>0</v>
      </c>
      <c r="G66" s="7" t="n">
        <f aca="false">COUNTIF('ISO27k Gap Analysis Questions'!M70, "1")</f>
        <v>0</v>
      </c>
      <c r="H66" s="5"/>
      <c r="I66" s="5"/>
      <c r="J66" s="5"/>
      <c r="K66" s="5"/>
      <c r="L66" s="5"/>
      <c r="M66" s="5"/>
      <c r="N66" s="5"/>
      <c r="O66" s="5"/>
      <c r="P66" s="5"/>
      <c r="Q66" s="5"/>
      <c r="R66" s="5"/>
      <c r="S66" s="5"/>
      <c r="T66" s="5"/>
      <c r="U66" s="5"/>
      <c r="V66" s="5"/>
      <c r="W66" s="5"/>
      <c r="X66" s="5"/>
      <c r="Y66" s="5"/>
      <c r="Z66" s="5"/>
    </row>
    <row r="67" customFormat="false" ht="13.5" hidden="false" customHeight="true" outlineLevel="0" collapsed="false">
      <c r="A67" s="39" t="n">
        <v>1</v>
      </c>
      <c r="B67" s="56" t="s">
        <v>198</v>
      </c>
      <c r="C67" s="56" t="s">
        <v>199</v>
      </c>
      <c r="D67" s="57"/>
      <c r="E67" s="57"/>
      <c r="F67" s="7" t="n">
        <f aca="false">COUNTIF(D67, "*")</f>
        <v>0</v>
      </c>
      <c r="G67" s="7" t="n">
        <f aca="false">COUNTIF('ISO27k Gap Analysis Questions'!M71, "1")</f>
        <v>0</v>
      </c>
      <c r="H67" s="5"/>
      <c r="I67" s="5"/>
      <c r="J67" s="5"/>
      <c r="K67" s="5"/>
      <c r="L67" s="5"/>
      <c r="M67" s="5"/>
      <c r="N67" s="5"/>
      <c r="O67" s="5"/>
      <c r="P67" s="5"/>
      <c r="Q67" s="5"/>
      <c r="R67" s="5"/>
      <c r="S67" s="5"/>
      <c r="T67" s="5"/>
      <c r="U67" s="5"/>
      <c r="V67" s="5"/>
      <c r="W67" s="5"/>
      <c r="X67" s="5"/>
      <c r="Y67" s="5"/>
      <c r="Z67" s="5"/>
    </row>
    <row r="68" customFormat="false" ht="13.5" hidden="false" customHeight="true" outlineLevel="0" collapsed="false">
      <c r="A68" s="39" t="n">
        <v>1</v>
      </c>
      <c r="B68" s="56" t="s">
        <v>201</v>
      </c>
      <c r="C68" s="56" t="s">
        <v>202</v>
      </c>
      <c r="D68" s="57"/>
      <c r="E68" s="57"/>
      <c r="F68" s="7" t="n">
        <f aca="false">COUNTIF(D68, "*")</f>
        <v>0</v>
      </c>
      <c r="G68" s="7" t="n">
        <f aca="false">COUNTIF('ISO27k Gap Analysis Questions'!M72, "1")</f>
        <v>0</v>
      </c>
      <c r="H68" s="5"/>
      <c r="I68" s="5"/>
      <c r="J68" s="5"/>
      <c r="K68" s="5"/>
      <c r="L68" s="5"/>
      <c r="M68" s="5"/>
      <c r="N68" s="5"/>
      <c r="O68" s="5"/>
      <c r="P68" s="5"/>
      <c r="Q68" s="5"/>
      <c r="R68" s="5"/>
      <c r="S68" s="5"/>
      <c r="T68" s="5"/>
      <c r="U68" s="5"/>
      <c r="V68" s="5"/>
      <c r="W68" s="5"/>
      <c r="X68" s="5"/>
      <c r="Y68" s="5"/>
      <c r="Z68" s="5"/>
    </row>
    <row r="69" customFormat="false" ht="13.5" hidden="false" customHeight="true" outlineLevel="0" collapsed="false">
      <c r="A69" s="39" t="n">
        <v>1</v>
      </c>
      <c r="B69" s="56" t="s">
        <v>204</v>
      </c>
      <c r="C69" s="56" t="s">
        <v>205</v>
      </c>
      <c r="D69" s="57"/>
      <c r="E69" s="57"/>
      <c r="F69" s="7" t="n">
        <f aca="false">COUNTIF(D69, "*")</f>
        <v>0</v>
      </c>
      <c r="G69" s="7" t="n">
        <f aca="false">COUNTIF('ISO27k Gap Analysis Questions'!M73, "1")</f>
        <v>0</v>
      </c>
      <c r="H69" s="5"/>
      <c r="I69" s="5"/>
      <c r="J69" s="5"/>
      <c r="K69" s="5"/>
      <c r="L69" s="5"/>
      <c r="M69" s="5"/>
      <c r="N69" s="5"/>
      <c r="O69" s="5"/>
      <c r="P69" s="5"/>
      <c r="Q69" s="5"/>
      <c r="R69" s="5"/>
      <c r="S69" s="5"/>
      <c r="T69" s="5"/>
      <c r="U69" s="5"/>
      <c r="V69" s="5"/>
      <c r="W69" s="5"/>
      <c r="X69" s="5"/>
      <c r="Y69" s="5"/>
      <c r="Z69" s="5"/>
    </row>
    <row r="70" customFormat="false" ht="13.5" hidden="false" customHeight="true" outlineLevel="0" collapsed="false">
      <c r="A70" s="39" t="n">
        <v>1</v>
      </c>
      <c r="B70" s="56" t="s">
        <v>207</v>
      </c>
      <c r="C70" s="56" t="s">
        <v>208</v>
      </c>
      <c r="D70" s="57"/>
      <c r="E70" s="57"/>
      <c r="F70" s="7" t="n">
        <f aca="false">COUNTIF(D70, "*")</f>
        <v>0</v>
      </c>
      <c r="G70" s="7" t="n">
        <f aca="false">COUNTIF('ISO27k Gap Analysis Questions'!M74, "1")</f>
        <v>0</v>
      </c>
      <c r="H70" s="5"/>
      <c r="I70" s="5"/>
      <c r="J70" s="5"/>
      <c r="K70" s="5"/>
      <c r="L70" s="5"/>
      <c r="M70" s="5"/>
      <c r="N70" s="5"/>
      <c r="O70" s="5"/>
      <c r="P70" s="5"/>
      <c r="Q70" s="5"/>
      <c r="R70" s="5"/>
      <c r="S70" s="5"/>
      <c r="T70" s="5"/>
      <c r="U70" s="5"/>
      <c r="V70" s="5"/>
      <c r="W70" s="5"/>
      <c r="X70" s="5"/>
      <c r="Y70" s="5"/>
      <c r="Z70" s="5"/>
    </row>
    <row r="71" customFormat="false" ht="13.5" hidden="false" customHeight="true" outlineLevel="0" collapsed="false">
      <c r="A71" s="39" t="n">
        <v>1</v>
      </c>
      <c r="B71" s="60" t="s">
        <v>209</v>
      </c>
      <c r="C71" s="60" t="s">
        <v>210</v>
      </c>
      <c r="D71" s="61"/>
      <c r="E71" s="61"/>
      <c r="F71" s="7" t="n">
        <f aca="false">COUNTIF(D71, "*")</f>
        <v>0</v>
      </c>
      <c r="G71" s="7" t="n">
        <f aca="false">COUNTIF('ISO27k Gap Analysis Questions'!M75, "1")</f>
        <v>0</v>
      </c>
      <c r="H71" s="5"/>
      <c r="I71" s="5"/>
      <c r="J71" s="5"/>
      <c r="K71" s="5"/>
      <c r="L71" s="5"/>
      <c r="M71" s="5"/>
      <c r="N71" s="5"/>
      <c r="O71" s="5"/>
      <c r="P71" s="5"/>
      <c r="Q71" s="5"/>
      <c r="R71" s="5"/>
      <c r="S71" s="5"/>
      <c r="T71" s="5"/>
      <c r="U71" s="5"/>
      <c r="V71" s="5"/>
      <c r="W71" s="5"/>
      <c r="X71" s="5"/>
      <c r="Y71" s="5"/>
      <c r="Z71" s="5"/>
    </row>
    <row r="72" customFormat="false" ht="13.5" hidden="false" customHeight="true" outlineLevel="0" collapsed="false">
      <c r="A72" s="39" t="n">
        <v>1</v>
      </c>
      <c r="B72" s="60" t="s">
        <v>212</v>
      </c>
      <c r="C72" s="60" t="s">
        <v>213</v>
      </c>
      <c r="D72" s="61"/>
      <c r="E72" s="61"/>
      <c r="F72" s="7" t="n">
        <f aca="false">COUNTIF(D72, "*")</f>
        <v>0</v>
      </c>
      <c r="G72" s="7" t="n">
        <f aca="false">COUNTIF('ISO27k Gap Analysis Questions'!M76, "1")</f>
        <v>0</v>
      </c>
      <c r="H72" s="5"/>
      <c r="I72" s="5"/>
      <c r="J72" s="5"/>
      <c r="K72" s="5"/>
      <c r="L72" s="5"/>
      <c r="M72" s="5"/>
      <c r="N72" s="5"/>
      <c r="O72" s="5"/>
      <c r="P72" s="5"/>
      <c r="Q72" s="5"/>
      <c r="R72" s="5"/>
      <c r="S72" s="5"/>
      <c r="T72" s="5"/>
      <c r="U72" s="5"/>
      <c r="V72" s="5"/>
      <c r="W72" s="5"/>
      <c r="X72" s="5"/>
      <c r="Y72" s="5"/>
      <c r="Z72" s="5"/>
    </row>
    <row r="73" customFormat="false" ht="13.5" hidden="false" customHeight="true" outlineLevel="0" collapsed="false">
      <c r="A73" s="39" t="n">
        <v>1</v>
      </c>
      <c r="B73" s="56" t="s">
        <v>215</v>
      </c>
      <c r="C73" s="56" t="s">
        <v>216</v>
      </c>
      <c r="D73" s="57"/>
      <c r="E73" s="57"/>
      <c r="F73" s="7" t="n">
        <f aca="false">COUNTIF(D73, "*")</f>
        <v>0</v>
      </c>
      <c r="G73" s="7" t="n">
        <f aca="false">COUNTIF('ISO27k Gap Analysis Questions'!M77, "1")</f>
        <v>0</v>
      </c>
      <c r="H73" s="5"/>
      <c r="I73" s="5"/>
      <c r="J73" s="5"/>
      <c r="K73" s="5"/>
      <c r="L73" s="5"/>
      <c r="M73" s="5"/>
      <c r="N73" s="5"/>
      <c r="O73" s="5"/>
      <c r="P73" s="5"/>
      <c r="Q73" s="5"/>
      <c r="R73" s="5"/>
      <c r="S73" s="5"/>
      <c r="T73" s="5"/>
      <c r="U73" s="5"/>
      <c r="V73" s="5"/>
      <c r="W73" s="5"/>
      <c r="X73" s="5"/>
      <c r="Y73" s="5"/>
      <c r="Z73" s="5"/>
    </row>
    <row r="74" customFormat="false" ht="13.5" hidden="false" customHeight="true" outlineLevel="0" collapsed="false">
      <c r="A74" s="39" t="n">
        <v>1</v>
      </c>
      <c r="B74" s="56" t="s">
        <v>218</v>
      </c>
      <c r="C74" s="56" t="s">
        <v>219</v>
      </c>
      <c r="D74" s="57"/>
      <c r="E74" s="57"/>
      <c r="F74" s="7" t="n">
        <f aca="false">COUNTIF(D74, "*")</f>
        <v>0</v>
      </c>
      <c r="G74" s="7" t="n">
        <f aca="false">COUNTIF('ISO27k Gap Analysis Questions'!M78, "1")</f>
        <v>0</v>
      </c>
      <c r="H74" s="5"/>
      <c r="I74" s="5"/>
      <c r="J74" s="5"/>
      <c r="K74" s="5"/>
      <c r="L74" s="5"/>
      <c r="M74" s="5"/>
      <c r="N74" s="5"/>
      <c r="O74" s="5"/>
      <c r="P74" s="5"/>
      <c r="Q74" s="5"/>
      <c r="R74" s="5"/>
      <c r="S74" s="5"/>
      <c r="T74" s="5"/>
      <c r="U74" s="5"/>
      <c r="V74" s="5"/>
      <c r="W74" s="5"/>
      <c r="X74" s="5"/>
      <c r="Y74" s="5"/>
      <c r="Z74" s="5"/>
    </row>
    <row r="75" customFormat="false" ht="13.5" hidden="false" customHeight="true" outlineLevel="0" collapsed="false">
      <c r="A75" s="39" t="n">
        <v>1</v>
      </c>
      <c r="B75" s="60" t="s">
        <v>221</v>
      </c>
      <c r="C75" s="60" t="s">
        <v>222</v>
      </c>
      <c r="D75" s="61"/>
      <c r="E75" s="61"/>
      <c r="F75" s="7" t="n">
        <f aca="false">COUNTIF(D75, "*")</f>
        <v>0</v>
      </c>
      <c r="G75" s="7" t="n">
        <f aca="false">COUNTIF('ISO27k Gap Analysis Questions'!M79, "1")</f>
        <v>0</v>
      </c>
      <c r="H75" s="5"/>
      <c r="I75" s="5"/>
      <c r="J75" s="5"/>
      <c r="K75" s="5"/>
      <c r="L75" s="5"/>
      <c r="M75" s="5"/>
      <c r="N75" s="5"/>
      <c r="O75" s="5"/>
      <c r="P75" s="5"/>
      <c r="Q75" s="5"/>
      <c r="R75" s="5"/>
      <c r="S75" s="5"/>
      <c r="T75" s="5"/>
      <c r="U75" s="5"/>
      <c r="V75" s="5"/>
      <c r="W75" s="5"/>
      <c r="X75" s="5"/>
      <c r="Y75" s="5"/>
      <c r="Z75" s="5"/>
    </row>
    <row r="76" customFormat="false" ht="13.5" hidden="false" customHeight="true" outlineLevel="0" collapsed="false">
      <c r="A76" s="39" t="n">
        <v>1</v>
      </c>
      <c r="B76" s="60" t="s">
        <v>224</v>
      </c>
      <c r="C76" s="60" t="s">
        <v>225</v>
      </c>
      <c r="D76" s="61"/>
      <c r="E76" s="61"/>
      <c r="F76" s="7" t="n">
        <f aca="false">COUNTIF(D76, "*")</f>
        <v>0</v>
      </c>
      <c r="G76" s="7" t="n">
        <f aca="false">COUNTIF('ISO27k Gap Analysis Questions'!M80, "1")</f>
        <v>0</v>
      </c>
      <c r="H76" s="5"/>
      <c r="I76" s="5"/>
      <c r="J76" s="5"/>
      <c r="K76" s="5"/>
      <c r="L76" s="5"/>
      <c r="M76" s="5"/>
      <c r="N76" s="5"/>
      <c r="O76" s="5"/>
      <c r="P76" s="5"/>
      <c r="Q76" s="5"/>
      <c r="R76" s="5"/>
      <c r="S76" s="5"/>
      <c r="T76" s="5"/>
      <c r="U76" s="5"/>
      <c r="V76" s="5"/>
      <c r="W76" s="5"/>
      <c r="X76" s="5"/>
      <c r="Y76" s="5"/>
      <c r="Z76" s="5"/>
    </row>
    <row r="77" customFormat="false" ht="13.5" hidden="false" customHeight="true" outlineLevel="0" collapsed="false">
      <c r="A77" s="39" t="n">
        <v>1</v>
      </c>
      <c r="B77" s="56" t="n">
        <v>5.16</v>
      </c>
      <c r="C77" s="56" t="s">
        <v>227</v>
      </c>
      <c r="D77" s="57"/>
      <c r="E77" s="57"/>
      <c r="F77" s="7" t="n">
        <f aca="false">COUNTIF(D77, "*")</f>
        <v>0</v>
      </c>
      <c r="G77" s="7" t="n">
        <f aca="false">COUNTIF('ISO27k Gap Analysis Questions'!M81, "1")</f>
        <v>0</v>
      </c>
      <c r="H77" s="5"/>
      <c r="I77" s="5"/>
      <c r="J77" s="5"/>
      <c r="K77" s="5"/>
      <c r="L77" s="5"/>
      <c r="M77" s="5"/>
      <c r="N77" s="5"/>
      <c r="O77" s="5"/>
      <c r="P77" s="5"/>
      <c r="Q77" s="5"/>
      <c r="R77" s="5"/>
      <c r="S77" s="5"/>
      <c r="T77" s="5"/>
      <c r="U77" s="5"/>
      <c r="V77" s="5"/>
      <c r="W77" s="5"/>
      <c r="X77" s="5"/>
      <c r="Y77" s="5"/>
      <c r="Z77" s="5"/>
    </row>
    <row r="78" customFormat="false" ht="13.5" hidden="false" customHeight="true" outlineLevel="0" collapsed="false">
      <c r="A78" s="39" t="n">
        <v>1</v>
      </c>
      <c r="B78" s="60" t="s">
        <v>229</v>
      </c>
      <c r="C78" s="60" t="s">
        <v>230</v>
      </c>
      <c r="D78" s="61"/>
      <c r="E78" s="61"/>
      <c r="F78" s="7" t="n">
        <f aca="false">COUNTIF(D78, "*")</f>
        <v>0</v>
      </c>
      <c r="G78" s="7" t="n">
        <f aca="false">COUNTIF('ISO27k Gap Analysis Questions'!M82, "1")</f>
        <v>0</v>
      </c>
      <c r="H78" s="5"/>
      <c r="I78" s="5"/>
      <c r="J78" s="5"/>
      <c r="K78" s="5"/>
      <c r="L78" s="5"/>
      <c r="M78" s="5"/>
      <c r="N78" s="5"/>
      <c r="O78" s="5"/>
      <c r="P78" s="5"/>
      <c r="Q78" s="5"/>
      <c r="R78" s="5"/>
      <c r="S78" s="5"/>
      <c r="T78" s="5"/>
      <c r="U78" s="5"/>
      <c r="V78" s="5"/>
      <c r="W78" s="5"/>
      <c r="X78" s="5"/>
      <c r="Y78" s="5"/>
      <c r="Z78" s="5"/>
    </row>
    <row r="79" customFormat="false" ht="13.5" hidden="false" customHeight="true" outlineLevel="0" collapsed="false">
      <c r="A79" s="39" t="n">
        <v>1</v>
      </c>
      <c r="B79" s="60" t="s">
        <v>232</v>
      </c>
      <c r="C79" s="60" t="s">
        <v>233</v>
      </c>
      <c r="D79" s="61"/>
      <c r="E79" s="61"/>
      <c r="F79" s="7" t="n">
        <f aca="false">COUNTIF(D79, "*")</f>
        <v>0</v>
      </c>
      <c r="G79" s="7" t="n">
        <f aca="false">COUNTIF('ISO27k Gap Analysis Questions'!M83, "1")</f>
        <v>0</v>
      </c>
      <c r="H79" s="5"/>
      <c r="I79" s="5"/>
      <c r="J79" s="5"/>
      <c r="K79" s="5"/>
      <c r="L79" s="5"/>
      <c r="M79" s="5"/>
      <c r="N79" s="5"/>
      <c r="O79" s="5"/>
      <c r="P79" s="5"/>
      <c r="Q79" s="5"/>
      <c r="R79" s="5"/>
      <c r="S79" s="5"/>
      <c r="T79" s="5"/>
      <c r="U79" s="5"/>
      <c r="V79" s="5"/>
      <c r="W79" s="5"/>
      <c r="X79" s="5"/>
      <c r="Y79" s="5"/>
      <c r="Z79" s="5"/>
    </row>
    <row r="80" customFormat="false" ht="13.5" hidden="false" customHeight="true" outlineLevel="0" collapsed="false">
      <c r="A80" s="39" t="n">
        <v>1</v>
      </c>
      <c r="B80" s="60" t="s">
        <v>235</v>
      </c>
      <c r="C80" s="60" t="s">
        <v>236</v>
      </c>
      <c r="D80" s="61"/>
      <c r="E80" s="61"/>
      <c r="F80" s="7" t="n">
        <f aca="false">COUNTIF(D80, "*")</f>
        <v>0</v>
      </c>
      <c r="G80" s="7" t="n">
        <f aca="false">COUNTIF('ISO27k Gap Analysis Questions'!M84, "1")</f>
        <v>0</v>
      </c>
      <c r="H80" s="5"/>
      <c r="I80" s="5"/>
      <c r="J80" s="5"/>
      <c r="K80" s="5"/>
      <c r="L80" s="5"/>
      <c r="M80" s="5"/>
      <c r="N80" s="5"/>
      <c r="O80" s="5"/>
      <c r="P80" s="5"/>
      <c r="Q80" s="5"/>
      <c r="R80" s="5"/>
      <c r="S80" s="5"/>
      <c r="T80" s="5"/>
      <c r="U80" s="5"/>
      <c r="V80" s="5"/>
      <c r="W80" s="5"/>
      <c r="X80" s="5"/>
      <c r="Y80" s="5"/>
      <c r="Z80" s="5"/>
    </row>
    <row r="81" customFormat="false" ht="13.5" hidden="false" customHeight="true" outlineLevel="0" collapsed="false">
      <c r="A81" s="39" t="n">
        <v>1</v>
      </c>
      <c r="B81" s="60" t="s">
        <v>238</v>
      </c>
      <c r="C81" s="60" t="s">
        <v>239</v>
      </c>
      <c r="D81" s="61"/>
      <c r="E81" s="61"/>
      <c r="F81" s="7" t="n">
        <f aca="false">COUNTIF(D81, "*")</f>
        <v>0</v>
      </c>
      <c r="G81" s="7" t="n">
        <f aca="false">COUNTIF('ISO27k Gap Analysis Questions'!M85, "1")</f>
        <v>0</v>
      </c>
      <c r="H81" s="5"/>
      <c r="I81" s="5"/>
      <c r="J81" s="5"/>
      <c r="K81" s="5"/>
      <c r="L81" s="5"/>
      <c r="M81" s="5"/>
      <c r="N81" s="5"/>
      <c r="O81" s="5"/>
      <c r="P81" s="5"/>
      <c r="Q81" s="5"/>
      <c r="R81" s="5"/>
      <c r="S81" s="5"/>
      <c r="T81" s="5"/>
      <c r="U81" s="5"/>
      <c r="V81" s="5"/>
      <c r="W81" s="5"/>
      <c r="X81" s="5"/>
      <c r="Y81" s="5"/>
      <c r="Z81" s="5"/>
    </row>
    <row r="82" customFormat="false" ht="13.5" hidden="false" customHeight="true" outlineLevel="0" collapsed="false">
      <c r="A82" s="39" t="n">
        <v>1</v>
      </c>
      <c r="B82" s="56" t="s">
        <v>241</v>
      </c>
      <c r="C82" s="56" t="s">
        <v>242</v>
      </c>
      <c r="D82" s="57"/>
      <c r="E82" s="57"/>
      <c r="F82" s="7" t="n">
        <f aca="false">COUNTIF(D82, "*")</f>
        <v>0</v>
      </c>
      <c r="G82" s="7" t="n">
        <f aca="false">COUNTIF('ISO27k Gap Analysis Questions'!M86, "1")</f>
        <v>0</v>
      </c>
      <c r="H82" s="5"/>
      <c r="I82" s="5"/>
      <c r="J82" s="5"/>
      <c r="K82" s="5"/>
      <c r="L82" s="5"/>
      <c r="M82" s="5"/>
      <c r="N82" s="5"/>
      <c r="O82" s="5"/>
      <c r="P82" s="5"/>
      <c r="Q82" s="5"/>
      <c r="R82" s="5"/>
      <c r="S82" s="5"/>
      <c r="T82" s="5"/>
      <c r="U82" s="5"/>
      <c r="V82" s="5"/>
      <c r="W82" s="5"/>
      <c r="X82" s="5"/>
      <c r="Y82" s="5"/>
      <c r="Z82" s="5"/>
    </row>
    <row r="83" customFormat="false" ht="13.5" hidden="false" customHeight="true" outlineLevel="0" collapsed="false">
      <c r="A83" s="39" t="n">
        <v>1</v>
      </c>
      <c r="B83" s="56" t="s">
        <v>244</v>
      </c>
      <c r="C83" s="56" t="s">
        <v>245</v>
      </c>
      <c r="D83" s="57"/>
      <c r="E83" s="57"/>
      <c r="F83" s="7" t="n">
        <f aca="false">COUNTIF(D83, "*")</f>
        <v>0</v>
      </c>
      <c r="G83" s="7" t="n">
        <f aca="false">COUNTIF('ISO27k Gap Analysis Questions'!M87, "1")</f>
        <v>0</v>
      </c>
      <c r="H83" s="5"/>
      <c r="I83" s="5"/>
      <c r="J83" s="5"/>
      <c r="K83" s="5"/>
      <c r="L83" s="5"/>
      <c r="M83" s="5"/>
      <c r="N83" s="5"/>
      <c r="O83" s="5"/>
      <c r="P83" s="5"/>
      <c r="Q83" s="5"/>
      <c r="R83" s="5"/>
      <c r="S83" s="5"/>
      <c r="T83" s="5"/>
      <c r="U83" s="5"/>
      <c r="V83" s="5"/>
      <c r="W83" s="5"/>
      <c r="X83" s="5"/>
      <c r="Y83" s="5"/>
      <c r="Z83" s="5"/>
    </row>
    <row r="84" customFormat="false" ht="13.5" hidden="false" customHeight="true" outlineLevel="0" collapsed="false">
      <c r="A84" s="39" t="n">
        <v>1</v>
      </c>
      <c r="B84" s="60" t="n">
        <v>5.19</v>
      </c>
      <c r="C84" s="60" t="s">
        <v>247</v>
      </c>
      <c r="D84" s="61"/>
      <c r="E84" s="61"/>
      <c r="F84" s="7" t="n">
        <f aca="false">COUNTIF(D84, "*")</f>
        <v>0</v>
      </c>
      <c r="G84" s="7" t="n">
        <f aca="false">COUNTIF('ISO27k Gap Analysis Questions'!M88, "1")</f>
        <v>0</v>
      </c>
      <c r="H84" s="5"/>
      <c r="I84" s="5"/>
      <c r="J84" s="5"/>
      <c r="K84" s="5"/>
      <c r="L84" s="5"/>
      <c r="M84" s="5"/>
      <c r="N84" s="5"/>
      <c r="O84" s="5"/>
      <c r="P84" s="5"/>
      <c r="Q84" s="5"/>
      <c r="R84" s="5"/>
      <c r="S84" s="5"/>
      <c r="T84" s="5"/>
      <c r="U84" s="5"/>
      <c r="V84" s="5"/>
      <c r="W84" s="5"/>
      <c r="X84" s="5"/>
      <c r="Y84" s="5"/>
      <c r="Z84" s="5"/>
    </row>
    <row r="85" customFormat="false" ht="13.5" hidden="false" customHeight="true" outlineLevel="0" collapsed="false">
      <c r="A85" s="39" t="n">
        <v>1</v>
      </c>
      <c r="B85" s="62" t="n">
        <v>5.2</v>
      </c>
      <c r="C85" s="56" t="s">
        <v>249</v>
      </c>
      <c r="D85" s="57"/>
      <c r="E85" s="57"/>
      <c r="F85" s="7" t="n">
        <f aca="false">COUNTIF(D85, "*")</f>
        <v>0</v>
      </c>
      <c r="G85" s="7" t="n">
        <f aca="false">COUNTIF('ISO27k Gap Analysis Questions'!M89, "1")</f>
        <v>0</v>
      </c>
      <c r="H85" s="5"/>
      <c r="I85" s="5"/>
      <c r="J85" s="5"/>
      <c r="K85" s="5"/>
      <c r="L85" s="5"/>
      <c r="M85" s="5"/>
      <c r="N85" s="5"/>
      <c r="O85" s="5"/>
      <c r="P85" s="5"/>
      <c r="Q85" s="5"/>
      <c r="R85" s="5"/>
      <c r="S85" s="5"/>
      <c r="T85" s="5"/>
      <c r="U85" s="5"/>
      <c r="V85" s="5"/>
      <c r="W85" s="5"/>
      <c r="X85" s="5"/>
      <c r="Y85" s="5"/>
      <c r="Z85" s="5"/>
    </row>
    <row r="86" customFormat="false" ht="13.5" hidden="false" customHeight="true" outlineLevel="0" collapsed="false">
      <c r="A86" s="39" t="n">
        <v>1</v>
      </c>
      <c r="B86" s="60" t="n">
        <v>5.21</v>
      </c>
      <c r="C86" s="60" t="s">
        <v>251</v>
      </c>
      <c r="D86" s="61"/>
      <c r="E86" s="61"/>
      <c r="F86" s="7" t="n">
        <f aca="false">COUNTIF(D86, "*")</f>
        <v>0</v>
      </c>
      <c r="G86" s="7" t="n">
        <f aca="false">COUNTIF('ISO27k Gap Analysis Questions'!M90, "1")</f>
        <v>0</v>
      </c>
      <c r="H86" s="5"/>
      <c r="I86" s="5"/>
      <c r="J86" s="5"/>
      <c r="K86" s="5"/>
      <c r="L86" s="5"/>
      <c r="M86" s="5"/>
      <c r="N86" s="5"/>
      <c r="O86" s="5"/>
      <c r="P86" s="5"/>
      <c r="Q86" s="5"/>
      <c r="R86" s="5"/>
      <c r="S86" s="5"/>
      <c r="T86" s="5"/>
      <c r="U86" s="5"/>
      <c r="V86" s="5"/>
      <c r="W86" s="5"/>
      <c r="X86" s="5"/>
      <c r="Y86" s="5"/>
      <c r="Z86" s="5"/>
    </row>
    <row r="87" customFormat="false" ht="13.5" hidden="false" customHeight="true" outlineLevel="0" collapsed="false">
      <c r="A87" s="39" t="n">
        <v>1</v>
      </c>
      <c r="B87" s="56" t="n">
        <v>5.22</v>
      </c>
      <c r="C87" s="56" t="s">
        <v>253</v>
      </c>
      <c r="D87" s="57"/>
      <c r="E87" s="57"/>
      <c r="F87" s="7" t="n">
        <f aca="false">COUNTIF(D87, "*")</f>
        <v>0</v>
      </c>
      <c r="G87" s="7" t="n">
        <f aca="false">COUNTIF('ISO27k Gap Analysis Questions'!M91, "1")</f>
        <v>0</v>
      </c>
      <c r="H87" s="5"/>
      <c r="I87" s="5"/>
      <c r="J87" s="5"/>
      <c r="K87" s="5"/>
      <c r="L87" s="5"/>
      <c r="M87" s="5"/>
      <c r="N87" s="5"/>
      <c r="O87" s="5"/>
      <c r="P87" s="5"/>
      <c r="Q87" s="5"/>
      <c r="R87" s="5"/>
      <c r="S87" s="5"/>
      <c r="T87" s="5"/>
      <c r="U87" s="5"/>
      <c r="V87" s="5"/>
      <c r="W87" s="5"/>
      <c r="X87" s="5"/>
      <c r="Y87" s="5"/>
      <c r="Z87" s="5"/>
    </row>
    <row r="88" customFormat="false" ht="13.5" hidden="false" customHeight="true" outlineLevel="0" collapsed="false">
      <c r="A88" s="39" t="n">
        <v>1</v>
      </c>
      <c r="B88" s="60" t="s">
        <v>255</v>
      </c>
      <c r="C88" s="60" t="s">
        <v>256</v>
      </c>
      <c r="D88" s="61"/>
      <c r="E88" s="61"/>
      <c r="F88" s="7" t="n">
        <f aca="false">COUNTIF(D88, "*")</f>
        <v>0</v>
      </c>
      <c r="G88" s="7" t="n">
        <f aca="false">COUNTIF('ISO27k Gap Analysis Questions'!M92, "1")</f>
        <v>0</v>
      </c>
      <c r="H88" s="5"/>
      <c r="I88" s="5"/>
      <c r="J88" s="5"/>
      <c r="K88" s="5"/>
      <c r="L88" s="5"/>
      <c r="M88" s="5"/>
      <c r="N88" s="5"/>
      <c r="O88" s="5"/>
      <c r="P88" s="5"/>
      <c r="Q88" s="5"/>
      <c r="R88" s="5"/>
      <c r="S88" s="5"/>
      <c r="T88" s="5"/>
      <c r="U88" s="5"/>
      <c r="V88" s="5"/>
      <c r="W88" s="5"/>
      <c r="X88" s="5"/>
      <c r="Y88" s="5"/>
      <c r="Z88" s="5"/>
    </row>
    <row r="89" customFormat="false" ht="13.5" hidden="false" customHeight="true" outlineLevel="0" collapsed="false">
      <c r="A89" s="39" t="n">
        <v>1</v>
      </c>
      <c r="B89" s="60" t="s">
        <v>258</v>
      </c>
      <c r="C89" s="60" t="s">
        <v>259</v>
      </c>
      <c r="D89" s="61"/>
      <c r="E89" s="61"/>
      <c r="F89" s="7" t="n">
        <f aca="false">COUNTIF(D89, "*")</f>
        <v>0</v>
      </c>
      <c r="G89" s="7" t="n">
        <f aca="false">COUNTIF('ISO27k Gap Analysis Questions'!M93, "1")</f>
        <v>0</v>
      </c>
      <c r="H89" s="5"/>
      <c r="I89" s="5"/>
      <c r="J89" s="5"/>
      <c r="K89" s="5"/>
      <c r="L89" s="5"/>
      <c r="M89" s="5"/>
      <c r="N89" s="5"/>
      <c r="O89" s="5"/>
      <c r="P89" s="5"/>
      <c r="Q89" s="5"/>
      <c r="R89" s="5"/>
      <c r="S89" s="5"/>
      <c r="T89" s="5"/>
      <c r="U89" s="5"/>
      <c r="V89" s="5"/>
      <c r="W89" s="5"/>
      <c r="X89" s="5"/>
      <c r="Y89" s="5"/>
      <c r="Z89" s="5"/>
    </row>
    <row r="90" customFormat="false" ht="13.5" hidden="false" customHeight="true" outlineLevel="0" collapsed="false">
      <c r="A90" s="39" t="n">
        <v>1</v>
      </c>
      <c r="B90" s="56" t="s">
        <v>261</v>
      </c>
      <c r="C90" s="56" t="s">
        <v>262</v>
      </c>
      <c r="D90" s="57"/>
      <c r="E90" s="57"/>
      <c r="F90" s="7" t="n">
        <f aca="false">COUNTIF(D90, "*")</f>
        <v>0</v>
      </c>
      <c r="G90" s="7" t="n">
        <f aca="false">COUNTIF('ISO27k Gap Analysis Questions'!M94, "1")</f>
        <v>0</v>
      </c>
      <c r="H90" s="5"/>
      <c r="I90" s="5"/>
      <c r="J90" s="5"/>
      <c r="K90" s="5"/>
      <c r="L90" s="5"/>
      <c r="M90" s="5"/>
      <c r="N90" s="5"/>
      <c r="O90" s="5"/>
      <c r="P90" s="5"/>
      <c r="Q90" s="5"/>
      <c r="R90" s="5"/>
      <c r="S90" s="5"/>
      <c r="T90" s="5"/>
      <c r="U90" s="5"/>
      <c r="V90" s="5"/>
      <c r="W90" s="5"/>
      <c r="X90" s="5"/>
      <c r="Y90" s="5"/>
      <c r="Z90" s="5"/>
    </row>
    <row r="91" customFormat="false" ht="13.5" hidden="false" customHeight="true" outlineLevel="0" collapsed="false">
      <c r="A91" s="39" t="n">
        <v>1</v>
      </c>
      <c r="B91" s="56" t="s">
        <v>264</v>
      </c>
      <c r="C91" s="56" t="s">
        <v>265</v>
      </c>
      <c r="D91" s="57"/>
      <c r="E91" s="57"/>
      <c r="F91" s="7" t="n">
        <f aca="false">COUNTIF(D91, "*")</f>
        <v>0</v>
      </c>
      <c r="G91" s="7" t="n">
        <f aca="false">COUNTIF('ISO27k Gap Analysis Questions'!M95, "1")</f>
        <v>0</v>
      </c>
      <c r="H91" s="5"/>
      <c r="I91" s="5"/>
      <c r="J91" s="5"/>
      <c r="K91" s="5"/>
      <c r="L91" s="5"/>
      <c r="M91" s="5"/>
      <c r="N91" s="5"/>
      <c r="O91" s="5"/>
      <c r="P91" s="5"/>
      <c r="Q91" s="5"/>
      <c r="R91" s="5"/>
      <c r="S91" s="5"/>
      <c r="T91" s="5"/>
      <c r="U91" s="5"/>
      <c r="V91" s="5"/>
      <c r="W91" s="5"/>
      <c r="X91" s="5"/>
      <c r="Y91" s="5"/>
      <c r="Z91" s="5"/>
    </row>
    <row r="92" customFormat="false" ht="13.5" hidden="false" customHeight="true" outlineLevel="0" collapsed="false">
      <c r="A92" s="39" t="n">
        <v>1</v>
      </c>
      <c r="B92" s="60" t="n">
        <v>5.25</v>
      </c>
      <c r="C92" s="60" t="s">
        <v>267</v>
      </c>
      <c r="D92" s="61"/>
      <c r="E92" s="61"/>
      <c r="F92" s="7" t="n">
        <f aca="false">COUNTIF(D92, "*")</f>
        <v>0</v>
      </c>
      <c r="G92" s="7" t="n">
        <f aca="false">COUNTIF('ISO27k Gap Analysis Questions'!M96, "1")</f>
        <v>0</v>
      </c>
      <c r="H92" s="5"/>
      <c r="I92" s="5"/>
      <c r="J92" s="5"/>
      <c r="K92" s="5"/>
      <c r="L92" s="5"/>
      <c r="M92" s="5"/>
      <c r="N92" s="5"/>
      <c r="O92" s="5"/>
      <c r="P92" s="5"/>
      <c r="Q92" s="5"/>
      <c r="R92" s="5"/>
      <c r="S92" s="5"/>
      <c r="T92" s="5"/>
      <c r="U92" s="5"/>
      <c r="V92" s="5"/>
      <c r="W92" s="5"/>
      <c r="X92" s="5"/>
      <c r="Y92" s="5"/>
      <c r="Z92" s="5"/>
    </row>
    <row r="93" customFormat="false" ht="13.5" hidden="false" customHeight="true" outlineLevel="0" collapsed="false">
      <c r="A93" s="39" t="n">
        <v>1</v>
      </c>
      <c r="B93" s="56" t="n">
        <v>5.26</v>
      </c>
      <c r="C93" s="56" t="s">
        <v>269</v>
      </c>
      <c r="D93" s="57"/>
      <c r="E93" s="57"/>
      <c r="F93" s="7" t="n">
        <f aca="false">COUNTIF(D93, "*")</f>
        <v>0</v>
      </c>
      <c r="G93" s="7" t="n">
        <f aca="false">COUNTIF('ISO27k Gap Analysis Questions'!M97, "1")</f>
        <v>0</v>
      </c>
      <c r="H93" s="5"/>
      <c r="I93" s="5"/>
      <c r="J93" s="5"/>
      <c r="K93" s="5"/>
      <c r="L93" s="5"/>
      <c r="M93" s="5"/>
      <c r="N93" s="5"/>
      <c r="O93" s="5"/>
      <c r="P93" s="5"/>
      <c r="Q93" s="5"/>
      <c r="R93" s="5"/>
      <c r="S93" s="5"/>
      <c r="T93" s="5"/>
      <c r="U93" s="5"/>
      <c r="V93" s="5"/>
      <c r="W93" s="5"/>
      <c r="X93" s="5"/>
      <c r="Y93" s="5"/>
      <c r="Z93" s="5"/>
    </row>
    <row r="94" customFormat="false" ht="13.5" hidden="false" customHeight="true" outlineLevel="0" collapsed="false">
      <c r="A94" s="39" t="n">
        <v>1</v>
      </c>
      <c r="B94" s="60" t="n">
        <v>5.27</v>
      </c>
      <c r="C94" s="60" t="s">
        <v>271</v>
      </c>
      <c r="D94" s="61"/>
      <c r="E94" s="61"/>
      <c r="F94" s="7" t="n">
        <f aca="false">COUNTIF(D94, "*")</f>
        <v>0</v>
      </c>
      <c r="G94" s="7" t="n">
        <f aca="false">COUNTIF('ISO27k Gap Analysis Questions'!M98, "1")</f>
        <v>0</v>
      </c>
      <c r="H94" s="5"/>
      <c r="I94" s="5"/>
      <c r="J94" s="5"/>
      <c r="K94" s="5"/>
      <c r="L94" s="5"/>
      <c r="M94" s="5"/>
      <c r="N94" s="5"/>
      <c r="O94" s="5"/>
      <c r="P94" s="5"/>
      <c r="Q94" s="5"/>
      <c r="R94" s="5"/>
      <c r="S94" s="5"/>
      <c r="T94" s="5"/>
      <c r="U94" s="5"/>
      <c r="V94" s="5"/>
      <c r="W94" s="5"/>
      <c r="X94" s="5"/>
      <c r="Y94" s="5"/>
      <c r="Z94" s="5"/>
    </row>
    <row r="95" customFormat="false" ht="13.5" hidden="false" customHeight="true" outlineLevel="0" collapsed="false">
      <c r="A95" s="39" t="n">
        <v>1</v>
      </c>
      <c r="B95" s="56" t="n">
        <v>5.28</v>
      </c>
      <c r="C95" s="56" t="s">
        <v>273</v>
      </c>
      <c r="D95" s="57"/>
      <c r="E95" s="57"/>
      <c r="F95" s="7" t="n">
        <f aca="false">COUNTIF(D95, "*")</f>
        <v>0</v>
      </c>
      <c r="G95" s="7" t="n">
        <f aca="false">COUNTIF('ISO27k Gap Analysis Questions'!M99, "1")</f>
        <v>0</v>
      </c>
      <c r="H95" s="5"/>
      <c r="I95" s="5"/>
      <c r="J95" s="5"/>
      <c r="K95" s="5"/>
      <c r="L95" s="5"/>
      <c r="M95" s="5"/>
      <c r="N95" s="5"/>
      <c r="O95" s="5"/>
      <c r="P95" s="5"/>
      <c r="Q95" s="5"/>
      <c r="R95" s="5"/>
      <c r="S95" s="5"/>
      <c r="T95" s="5"/>
      <c r="U95" s="5"/>
      <c r="V95" s="5"/>
      <c r="W95" s="5"/>
      <c r="X95" s="5"/>
      <c r="Y95" s="5"/>
      <c r="Z95" s="5"/>
    </row>
    <row r="96" customFormat="false" ht="13.5" hidden="false" customHeight="true" outlineLevel="0" collapsed="false">
      <c r="A96" s="39" t="n">
        <v>1</v>
      </c>
      <c r="B96" s="60" t="n">
        <v>5.29</v>
      </c>
      <c r="C96" s="60" t="s">
        <v>275</v>
      </c>
      <c r="D96" s="61"/>
      <c r="E96" s="61"/>
      <c r="F96" s="7" t="n">
        <f aca="false">COUNTIF(D96, "*")</f>
        <v>0</v>
      </c>
      <c r="G96" s="7" t="n">
        <f aca="false">COUNTIF('ISO27k Gap Analysis Questions'!M100, "1")</f>
        <v>0</v>
      </c>
      <c r="H96" s="5"/>
      <c r="I96" s="5"/>
      <c r="J96" s="5"/>
      <c r="K96" s="5"/>
      <c r="L96" s="5"/>
      <c r="M96" s="5"/>
      <c r="N96" s="5"/>
      <c r="O96" s="5"/>
      <c r="P96" s="5"/>
      <c r="Q96" s="5"/>
      <c r="R96" s="5"/>
      <c r="S96" s="5"/>
      <c r="T96" s="5"/>
      <c r="U96" s="5"/>
      <c r="V96" s="5"/>
      <c r="W96" s="5"/>
      <c r="X96" s="5"/>
      <c r="Y96" s="5"/>
      <c r="Z96" s="5"/>
    </row>
    <row r="97" customFormat="false" ht="13.5" hidden="false" customHeight="true" outlineLevel="0" collapsed="false">
      <c r="A97" s="39" t="n">
        <v>1</v>
      </c>
      <c r="B97" s="63" t="s">
        <v>277</v>
      </c>
      <c r="C97" s="56" t="s">
        <v>278</v>
      </c>
      <c r="D97" s="57"/>
      <c r="E97" s="57"/>
      <c r="F97" s="7" t="n">
        <f aca="false">COUNTIF(D97, "*")</f>
        <v>0</v>
      </c>
      <c r="G97" s="7" t="n">
        <f aca="false">COUNTIF('ISO27k Gap Analysis Questions'!M101, "1")</f>
        <v>0</v>
      </c>
      <c r="H97" s="5"/>
      <c r="I97" s="5"/>
      <c r="J97" s="5"/>
      <c r="K97" s="5"/>
      <c r="L97" s="5"/>
      <c r="M97" s="5"/>
      <c r="N97" s="5"/>
      <c r="O97" s="5"/>
      <c r="P97" s="5"/>
      <c r="Q97" s="5"/>
      <c r="R97" s="5"/>
      <c r="S97" s="5"/>
      <c r="T97" s="5"/>
      <c r="U97" s="5"/>
      <c r="V97" s="5"/>
      <c r="W97" s="5"/>
      <c r="X97" s="5"/>
      <c r="Y97" s="5"/>
      <c r="Z97" s="5"/>
    </row>
    <row r="98" customFormat="false" ht="13.5" hidden="false" customHeight="true" outlineLevel="0" collapsed="false">
      <c r="A98" s="39" t="n">
        <v>1</v>
      </c>
      <c r="B98" s="56" t="s">
        <v>280</v>
      </c>
      <c r="C98" s="56" t="s">
        <v>281</v>
      </c>
      <c r="D98" s="57"/>
      <c r="E98" s="57"/>
      <c r="F98" s="7" t="n">
        <f aca="false">COUNTIF(D98, "*")</f>
        <v>0</v>
      </c>
      <c r="G98" s="7" t="n">
        <f aca="false">COUNTIF('ISO27k Gap Analysis Questions'!M102, "1")</f>
        <v>0</v>
      </c>
      <c r="H98" s="5"/>
      <c r="I98" s="5"/>
      <c r="J98" s="5"/>
      <c r="K98" s="5"/>
      <c r="L98" s="5"/>
      <c r="M98" s="5"/>
      <c r="N98" s="5"/>
      <c r="O98" s="5"/>
      <c r="P98" s="5"/>
      <c r="Q98" s="5"/>
      <c r="R98" s="5"/>
      <c r="S98" s="5"/>
      <c r="T98" s="5"/>
      <c r="U98" s="5"/>
      <c r="V98" s="5"/>
      <c r="W98" s="5"/>
      <c r="X98" s="5"/>
      <c r="Y98" s="5"/>
      <c r="Z98" s="5"/>
    </row>
    <row r="99" customFormat="false" ht="13.5" hidden="false" customHeight="true" outlineLevel="0" collapsed="false">
      <c r="A99" s="39" t="n">
        <v>1</v>
      </c>
      <c r="B99" s="60" t="n">
        <v>5.31</v>
      </c>
      <c r="C99" s="60" t="s">
        <v>283</v>
      </c>
      <c r="D99" s="61"/>
      <c r="E99" s="61"/>
      <c r="F99" s="7" t="n">
        <f aca="false">COUNTIF(D99, "*")</f>
        <v>0</v>
      </c>
      <c r="G99" s="7" t="n">
        <f aca="false">COUNTIF('ISO27k Gap Analysis Questions'!M103, "1")</f>
        <v>0</v>
      </c>
      <c r="H99" s="5"/>
      <c r="I99" s="5"/>
      <c r="J99" s="5"/>
      <c r="K99" s="5"/>
      <c r="L99" s="5"/>
      <c r="M99" s="5"/>
      <c r="N99" s="5"/>
      <c r="O99" s="5"/>
      <c r="P99" s="5"/>
      <c r="Q99" s="5"/>
      <c r="R99" s="5"/>
      <c r="S99" s="5"/>
      <c r="T99" s="5"/>
      <c r="U99" s="5"/>
      <c r="V99" s="5"/>
      <c r="W99" s="5"/>
      <c r="X99" s="5"/>
      <c r="Y99" s="5"/>
      <c r="Z99" s="5"/>
    </row>
    <row r="100" customFormat="false" ht="13.5" hidden="false" customHeight="true" outlineLevel="0" collapsed="false">
      <c r="A100" s="39" t="n">
        <v>1</v>
      </c>
      <c r="B100" s="56" t="n">
        <v>5.32</v>
      </c>
      <c r="C100" s="56" t="s">
        <v>285</v>
      </c>
      <c r="D100" s="57"/>
      <c r="E100" s="57"/>
      <c r="F100" s="7" t="n">
        <f aca="false">COUNTIF(D100, "*")</f>
        <v>0</v>
      </c>
      <c r="G100" s="7" t="n">
        <f aca="false">COUNTIF('ISO27k Gap Analysis Questions'!M104, "1")</f>
        <v>0</v>
      </c>
      <c r="H100" s="5"/>
      <c r="I100" s="5"/>
      <c r="J100" s="5"/>
      <c r="K100" s="5"/>
      <c r="L100" s="5"/>
      <c r="M100" s="5"/>
      <c r="N100" s="5"/>
      <c r="O100" s="5"/>
      <c r="P100" s="5"/>
      <c r="Q100" s="5"/>
      <c r="R100" s="5"/>
      <c r="S100" s="5"/>
      <c r="T100" s="5"/>
      <c r="U100" s="5"/>
      <c r="V100" s="5"/>
      <c r="W100" s="5"/>
      <c r="X100" s="5"/>
      <c r="Y100" s="5"/>
      <c r="Z100" s="5"/>
    </row>
    <row r="101" customFormat="false" ht="13.5" hidden="false" customHeight="true" outlineLevel="0" collapsed="false">
      <c r="A101" s="39" t="n">
        <v>1</v>
      </c>
      <c r="B101" s="60" t="s">
        <v>287</v>
      </c>
      <c r="C101" s="60" t="s">
        <v>288</v>
      </c>
      <c r="D101" s="61"/>
      <c r="E101" s="61"/>
      <c r="F101" s="7" t="n">
        <f aca="false">COUNTIF(D101, "*")</f>
        <v>0</v>
      </c>
      <c r="G101" s="7" t="n">
        <f aca="false">COUNTIF('ISO27k Gap Analysis Questions'!M105, "1")</f>
        <v>0</v>
      </c>
      <c r="H101" s="5"/>
      <c r="I101" s="5"/>
      <c r="J101" s="5"/>
      <c r="K101" s="5"/>
      <c r="L101" s="5"/>
      <c r="M101" s="5"/>
      <c r="N101" s="5"/>
      <c r="O101" s="5"/>
      <c r="P101" s="5"/>
      <c r="Q101" s="5"/>
      <c r="R101" s="5"/>
      <c r="S101" s="5"/>
      <c r="T101" s="5"/>
      <c r="U101" s="5"/>
      <c r="V101" s="5"/>
      <c r="W101" s="5"/>
      <c r="X101" s="5"/>
      <c r="Y101" s="5"/>
      <c r="Z101" s="5"/>
    </row>
    <row r="102" customFormat="false" ht="13.5" hidden="false" customHeight="true" outlineLevel="0" collapsed="false">
      <c r="A102" s="39" t="n">
        <v>1</v>
      </c>
      <c r="B102" s="60" t="s">
        <v>290</v>
      </c>
      <c r="C102" s="60" t="s">
        <v>291</v>
      </c>
      <c r="D102" s="61"/>
      <c r="E102" s="61"/>
      <c r="F102" s="7" t="n">
        <f aca="false">COUNTIF(D102, "*")</f>
        <v>0</v>
      </c>
      <c r="G102" s="7" t="n">
        <f aca="false">COUNTIF('ISO27k Gap Analysis Questions'!M106, "1")</f>
        <v>0</v>
      </c>
      <c r="H102" s="5"/>
      <c r="I102" s="5"/>
      <c r="J102" s="5"/>
      <c r="K102" s="5"/>
      <c r="L102" s="5"/>
      <c r="M102" s="5"/>
      <c r="N102" s="5"/>
      <c r="O102" s="5"/>
      <c r="P102" s="5"/>
      <c r="Q102" s="5"/>
      <c r="R102" s="5"/>
      <c r="S102" s="5"/>
      <c r="T102" s="5"/>
      <c r="U102" s="5"/>
      <c r="V102" s="5"/>
      <c r="W102" s="5"/>
      <c r="X102" s="5"/>
      <c r="Y102" s="5"/>
      <c r="Z102" s="5"/>
    </row>
    <row r="103" customFormat="false" ht="13.5" hidden="false" customHeight="true" outlineLevel="0" collapsed="false">
      <c r="A103" s="39" t="n">
        <v>1</v>
      </c>
      <c r="B103" s="56" t="s">
        <v>293</v>
      </c>
      <c r="C103" s="56" t="s">
        <v>294</v>
      </c>
      <c r="D103" s="57"/>
      <c r="E103" s="57"/>
      <c r="F103" s="7" t="n">
        <f aca="false">COUNTIF(D103, "*")</f>
        <v>0</v>
      </c>
      <c r="G103" s="7" t="n">
        <f aca="false">COUNTIF('ISO27k Gap Analysis Questions'!M107, "1")</f>
        <v>0</v>
      </c>
      <c r="H103" s="5"/>
      <c r="I103" s="5"/>
      <c r="J103" s="5"/>
      <c r="K103" s="5"/>
      <c r="L103" s="5"/>
      <c r="M103" s="5"/>
      <c r="N103" s="5"/>
      <c r="O103" s="5"/>
      <c r="P103" s="5"/>
      <c r="Q103" s="5"/>
      <c r="R103" s="5"/>
      <c r="S103" s="5"/>
      <c r="T103" s="5"/>
      <c r="U103" s="5"/>
      <c r="V103" s="5"/>
      <c r="W103" s="5"/>
      <c r="X103" s="5"/>
      <c r="Y103" s="5"/>
      <c r="Z103" s="5"/>
    </row>
    <row r="104" customFormat="false" ht="13.5" hidden="false" customHeight="true" outlineLevel="0" collapsed="false">
      <c r="A104" s="39" t="n">
        <v>1</v>
      </c>
      <c r="B104" s="56" t="s">
        <v>296</v>
      </c>
      <c r="C104" s="56" t="s">
        <v>297</v>
      </c>
      <c r="D104" s="57"/>
      <c r="E104" s="57"/>
      <c r="F104" s="7" t="n">
        <f aca="false">COUNTIF(D104, "*")</f>
        <v>0</v>
      </c>
      <c r="G104" s="7" t="n">
        <f aca="false">COUNTIF('ISO27k Gap Analysis Questions'!M108, "1")</f>
        <v>0</v>
      </c>
      <c r="H104" s="5"/>
      <c r="I104" s="5"/>
      <c r="J104" s="5"/>
      <c r="K104" s="5"/>
      <c r="L104" s="5"/>
      <c r="M104" s="5"/>
      <c r="N104" s="5"/>
      <c r="O104" s="5"/>
      <c r="P104" s="5"/>
      <c r="Q104" s="5"/>
      <c r="R104" s="5"/>
      <c r="S104" s="5"/>
      <c r="T104" s="5"/>
      <c r="U104" s="5"/>
      <c r="V104" s="5"/>
      <c r="W104" s="5"/>
      <c r="X104" s="5"/>
      <c r="Y104" s="5"/>
      <c r="Z104" s="5"/>
    </row>
    <row r="105" customFormat="false" ht="13.5" hidden="false" customHeight="true" outlineLevel="0" collapsed="false">
      <c r="A105" s="39" t="n">
        <v>1</v>
      </c>
      <c r="B105" s="60" t="n">
        <v>5.35</v>
      </c>
      <c r="C105" s="60" t="s">
        <v>299</v>
      </c>
      <c r="D105" s="61"/>
      <c r="E105" s="61"/>
      <c r="F105" s="7" t="n">
        <f aca="false">COUNTIF(D105, "*")</f>
        <v>0</v>
      </c>
      <c r="G105" s="7" t="n">
        <f aca="false">COUNTIF('ISO27k Gap Analysis Questions'!M109, "1")</f>
        <v>0</v>
      </c>
      <c r="H105" s="5"/>
      <c r="I105" s="5"/>
      <c r="J105" s="5"/>
      <c r="K105" s="5"/>
      <c r="L105" s="5"/>
      <c r="M105" s="5"/>
      <c r="N105" s="5"/>
      <c r="O105" s="5"/>
      <c r="P105" s="5"/>
      <c r="Q105" s="5"/>
      <c r="R105" s="5"/>
      <c r="S105" s="5"/>
      <c r="T105" s="5"/>
      <c r="U105" s="5"/>
      <c r="V105" s="5"/>
      <c r="W105" s="5"/>
      <c r="X105" s="5"/>
      <c r="Y105" s="5"/>
      <c r="Z105" s="5"/>
    </row>
    <row r="106" customFormat="false" ht="13.5" hidden="false" customHeight="true" outlineLevel="0" collapsed="false">
      <c r="A106" s="39" t="n">
        <v>1</v>
      </c>
      <c r="B106" s="56" t="n">
        <v>5.36</v>
      </c>
      <c r="C106" s="56" t="s">
        <v>301</v>
      </c>
      <c r="D106" s="57"/>
      <c r="E106" s="57"/>
      <c r="F106" s="7" t="n">
        <f aca="false">COUNTIF(D106, "*")</f>
        <v>0</v>
      </c>
      <c r="G106" s="7" t="n">
        <f aca="false">COUNTIF('ISO27k Gap Analysis Questions'!M110, "1")</f>
        <v>0</v>
      </c>
      <c r="H106" s="5"/>
      <c r="I106" s="5"/>
      <c r="J106" s="5"/>
      <c r="K106" s="5"/>
      <c r="L106" s="5"/>
      <c r="M106" s="5"/>
      <c r="N106" s="5"/>
      <c r="O106" s="5"/>
      <c r="P106" s="5"/>
      <c r="Q106" s="5"/>
      <c r="R106" s="5"/>
      <c r="S106" s="5"/>
      <c r="T106" s="5"/>
      <c r="U106" s="5"/>
      <c r="V106" s="5"/>
      <c r="W106" s="5"/>
      <c r="X106" s="5"/>
      <c r="Y106" s="5"/>
      <c r="Z106" s="5"/>
    </row>
    <row r="107" customFormat="false" ht="13.5" hidden="false" customHeight="true" outlineLevel="0" collapsed="false">
      <c r="A107" s="39" t="n">
        <v>1</v>
      </c>
      <c r="B107" s="60" t="n">
        <v>5.37</v>
      </c>
      <c r="C107" s="60" t="s">
        <v>303</v>
      </c>
      <c r="D107" s="61"/>
      <c r="E107" s="61"/>
      <c r="F107" s="7" t="n">
        <f aca="false">COUNTIF(D107, "*")</f>
        <v>0</v>
      </c>
      <c r="G107" s="7" t="n">
        <f aca="false">COUNTIF('ISO27k Gap Analysis Questions'!M111, "1")</f>
        <v>0</v>
      </c>
      <c r="H107" s="5"/>
      <c r="I107" s="5"/>
      <c r="J107" s="5"/>
      <c r="K107" s="5"/>
      <c r="L107" s="5"/>
      <c r="M107" s="5"/>
      <c r="N107" s="5"/>
      <c r="O107" s="5"/>
      <c r="P107" s="5"/>
      <c r="Q107" s="5"/>
      <c r="R107" s="5"/>
      <c r="S107" s="5"/>
      <c r="T107" s="5"/>
      <c r="U107" s="5"/>
      <c r="V107" s="5"/>
      <c r="W107" s="5"/>
      <c r="X107" s="5"/>
      <c r="Y107" s="5"/>
      <c r="Z107" s="5"/>
    </row>
    <row r="108" customFormat="false" ht="39.75" hidden="false" customHeight="true" outlineLevel="0" collapsed="false">
      <c r="A108" s="39"/>
      <c r="B108" s="75" t="s">
        <v>305</v>
      </c>
      <c r="C108" s="75"/>
      <c r="D108" s="75"/>
      <c r="E108" s="75"/>
      <c r="F108" s="7"/>
      <c r="G108" s="7"/>
      <c r="H108" s="5"/>
      <c r="I108" s="5"/>
      <c r="J108" s="5"/>
      <c r="K108" s="5"/>
      <c r="L108" s="5"/>
      <c r="M108" s="5"/>
      <c r="N108" s="5"/>
      <c r="O108" s="5"/>
      <c r="P108" s="5"/>
      <c r="Q108" s="5"/>
      <c r="R108" s="5"/>
      <c r="S108" s="5"/>
      <c r="T108" s="5"/>
      <c r="U108" s="5"/>
      <c r="V108" s="5"/>
      <c r="W108" s="5"/>
      <c r="X108" s="5"/>
      <c r="Y108" s="5"/>
      <c r="Z108" s="5"/>
    </row>
    <row r="109" customFormat="false" ht="13.5" hidden="false" customHeight="true" outlineLevel="0" collapsed="false">
      <c r="A109" s="39" t="n">
        <v>1</v>
      </c>
      <c r="B109" s="64" t="s">
        <v>61</v>
      </c>
      <c r="C109" s="56" t="s">
        <v>306</v>
      </c>
      <c r="D109" s="57"/>
      <c r="E109" s="57"/>
      <c r="F109" s="7" t="n">
        <f aca="false">COUNTIF(D109, "*")</f>
        <v>0</v>
      </c>
      <c r="G109" s="7" t="n">
        <f aca="false">COUNTIF('ISO27k Gap Analysis Questions'!M113, "1")</f>
        <v>0</v>
      </c>
      <c r="H109" s="5"/>
      <c r="I109" s="5"/>
      <c r="J109" s="5"/>
      <c r="K109" s="5"/>
      <c r="L109" s="5"/>
      <c r="M109" s="5"/>
      <c r="N109" s="5"/>
      <c r="O109" s="5"/>
      <c r="P109" s="5"/>
      <c r="Q109" s="5"/>
      <c r="R109" s="5"/>
      <c r="S109" s="5"/>
      <c r="T109" s="5"/>
      <c r="U109" s="5"/>
      <c r="V109" s="5"/>
      <c r="W109" s="5"/>
      <c r="X109" s="5"/>
      <c r="Y109" s="5"/>
      <c r="Z109" s="5"/>
    </row>
    <row r="110" customFormat="false" ht="13.5" hidden="false" customHeight="true" outlineLevel="0" collapsed="false">
      <c r="A110" s="39" t="n">
        <v>1</v>
      </c>
      <c r="B110" s="64" t="s">
        <v>64</v>
      </c>
      <c r="C110" s="56" t="s">
        <v>308</v>
      </c>
      <c r="D110" s="57"/>
      <c r="E110" s="57"/>
      <c r="F110" s="7" t="n">
        <f aca="false">COUNTIF(D110, "*")</f>
        <v>0</v>
      </c>
      <c r="G110" s="7" t="n">
        <f aca="false">COUNTIF('ISO27k Gap Analysis Questions'!M114, "1")</f>
        <v>0</v>
      </c>
      <c r="H110" s="5"/>
      <c r="I110" s="5"/>
      <c r="J110" s="5"/>
      <c r="K110" s="5"/>
      <c r="L110" s="5"/>
      <c r="M110" s="5"/>
      <c r="N110" s="5"/>
      <c r="O110" s="5"/>
      <c r="P110" s="5"/>
      <c r="Q110" s="5"/>
      <c r="R110" s="5"/>
      <c r="S110" s="5"/>
      <c r="T110" s="5"/>
      <c r="U110" s="5"/>
      <c r="V110" s="5"/>
      <c r="W110" s="5"/>
      <c r="X110" s="5"/>
      <c r="Y110" s="5"/>
      <c r="Z110" s="5"/>
    </row>
    <row r="111" customFormat="false" ht="13.5" hidden="false" customHeight="true" outlineLevel="0" collapsed="false">
      <c r="A111" s="39" t="n">
        <v>1</v>
      </c>
      <c r="B111" s="64" t="s">
        <v>67</v>
      </c>
      <c r="C111" s="56" t="s">
        <v>310</v>
      </c>
      <c r="D111" s="57"/>
      <c r="E111" s="57"/>
      <c r="F111" s="7" t="n">
        <f aca="false">COUNTIF(D111, "*")</f>
        <v>0</v>
      </c>
      <c r="G111" s="7" t="n">
        <f aca="false">COUNTIF('ISO27k Gap Analysis Questions'!M115, "1")</f>
        <v>0</v>
      </c>
      <c r="H111" s="5"/>
      <c r="I111" s="5"/>
      <c r="J111" s="5"/>
      <c r="K111" s="5"/>
      <c r="L111" s="5"/>
      <c r="M111" s="5"/>
      <c r="N111" s="5"/>
      <c r="O111" s="5"/>
      <c r="P111" s="5"/>
      <c r="Q111" s="5"/>
      <c r="R111" s="5"/>
      <c r="S111" s="5"/>
      <c r="T111" s="5"/>
      <c r="U111" s="5"/>
      <c r="V111" s="5"/>
      <c r="W111" s="5"/>
      <c r="X111" s="5"/>
      <c r="Y111" s="5"/>
      <c r="Z111" s="5"/>
    </row>
    <row r="112" customFormat="false" ht="13.5" hidden="false" customHeight="true" outlineLevel="0" collapsed="false">
      <c r="A112" s="39" t="n">
        <v>1</v>
      </c>
      <c r="B112" s="60" t="n">
        <v>6.2</v>
      </c>
      <c r="C112" s="60" t="s">
        <v>312</v>
      </c>
      <c r="D112" s="61"/>
      <c r="E112" s="61"/>
      <c r="F112" s="7" t="n">
        <f aca="false">COUNTIF(D112, "*")</f>
        <v>0</v>
      </c>
      <c r="G112" s="7" t="n">
        <f aca="false">COUNTIF('ISO27k Gap Analysis Questions'!M116, "1")</f>
        <v>0</v>
      </c>
      <c r="H112" s="5"/>
      <c r="I112" s="5"/>
      <c r="J112" s="5"/>
      <c r="K112" s="5"/>
      <c r="L112" s="5"/>
      <c r="M112" s="5"/>
      <c r="N112" s="5"/>
      <c r="O112" s="5"/>
      <c r="P112" s="5"/>
      <c r="Q112" s="5"/>
      <c r="R112" s="5"/>
      <c r="S112" s="5"/>
      <c r="T112" s="5"/>
      <c r="U112" s="5"/>
      <c r="V112" s="5"/>
      <c r="W112" s="5"/>
      <c r="X112" s="5"/>
      <c r="Y112" s="5"/>
      <c r="Z112" s="5"/>
    </row>
    <row r="113" customFormat="false" ht="13.5" hidden="false" customHeight="true" outlineLevel="0" collapsed="false">
      <c r="A113" s="39" t="n">
        <v>1</v>
      </c>
      <c r="B113" s="64" t="s">
        <v>73</v>
      </c>
      <c r="C113" s="56" t="s">
        <v>314</v>
      </c>
      <c r="D113" s="57"/>
      <c r="E113" s="57"/>
      <c r="F113" s="7" t="n">
        <f aca="false">COUNTIF(D113, "*")</f>
        <v>0</v>
      </c>
      <c r="G113" s="7" t="n">
        <f aca="false">COUNTIF('ISO27k Gap Analysis Questions'!M117, "1")</f>
        <v>0</v>
      </c>
      <c r="H113" s="5"/>
      <c r="I113" s="5"/>
      <c r="J113" s="5"/>
      <c r="K113" s="5"/>
      <c r="L113" s="5"/>
      <c r="M113" s="5"/>
      <c r="N113" s="5"/>
      <c r="O113" s="5"/>
      <c r="P113" s="5"/>
      <c r="Q113" s="5"/>
      <c r="R113" s="5"/>
      <c r="S113" s="5"/>
      <c r="T113" s="5"/>
      <c r="U113" s="5"/>
      <c r="V113" s="5"/>
      <c r="W113" s="5"/>
      <c r="X113" s="5"/>
      <c r="Y113" s="5"/>
      <c r="Z113" s="5"/>
    </row>
    <row r="114" customFormat="false" ht="13.5" hidden="false" customHeight="true" outlineLevel="0" collapsed="false">
      <c r="A114" s="39" t="n">
        <v>1</v>
      </c>
      <c r="B114" s="64" t="s">
        <v>316</v>
      </c>
      <c r="C114" s="56" t="s">
        <v>317</v>
      </c>
      <c r="D114" s="57"/>
      <c r="E114" s="57"/>
      <c r="F114" s="7" t="n">
        <f aca="false">COUNTIF(D114, "*")</f>
        <v>0</v>
      </c>
      <c r="G114" s="7" t="n">
        <f aca="false">COUNTIF('ISO27k Gap Analysis Questions'!M118, "1")</f>
        <v>0</v>
      </c>
      <c r="H114" s="5"/>
      <c r="I114" s="5"/>
      <c r="J114" s="5"/>
      <c r="K114" s="5"/>
      <c r="L114" s="5"/>
      <c r="M114" s="5"/>
      <c r="N114" s="5"/>
      <c r="O114" s="5"/>
      <c r="P114" s="5"/>
      <c r="Q114" s="5"/>
      <c r="R114" s="5"/>
      <c r="S114" s="5"/>
      <c r="T114" s="5"/>
      <c r="U114" s="5"/>
      <c r="V114" s="5"/>
      <c r="W114" s="5"/>
      <c r="X114" s="5"/>
      <c r="Y114" s="5"/>
      <c r="Z114" s="5"/>
    </row>
    <row r="115" customFormat="false" ht="13.5" hidden="false" customHeight="true" outlineLevel="0" collapsed="false">
      <c r="A115" s="39" t="n">
        <v>1</v>
      </c>
      <c r="B115" s="60" t="s">
        <v>319</v>
      </c>
      <c r="C115" s="60" t="s">
        <v>320</v>
      </c>
      <c r="D115" s="61"/>
      <c r="E115" s="61"/>
      <c r="F115" s="7" t="n">
        <f aca="false">COUNTIF(D115, "*")</f>
        <v>0</v>
      </c>
      <c r="G115" s="7" t="n">
        <f aca="false">COUNTIF('ISO27k Gap Analysis Questions'!M119, "1")</f>
        <v>0</v>
      </c>
      <c r="H115" s="5"/>
      <c r="I115" s="5"/>
      <c r="J115" s="5"/>
      <c r="K115" s="5"/>
      <c r="L115" s="5"/>
      <c r="M115" s="5"/>
      <c r="N115" s="5"/>
      <c r="O115" s="5"/>
      <c r="P115" s="5"/>
      <c r="Q115" s="5"/>
      <c r="R115" s="5"/>
      <c r="S115" s="5"/>
      <c r="T115" s="5"/>
      <c r="U115" s="5"/>
      <c r="V115" s="5"/>
      <c r="W115" s="5"/>
      <c r="X115" s="5"/>
      <c r="Y115" s="5"/>
      <c r="Z115" s="5"/>
    </row>
    <row r="116" customFormat="false" ht="13.5" hidden="false" customHeight="true" outlineLevel="0" collapsed="false">
      <c r="A116" s="39" t="n">
        <v>1</v>
      </c>
      <c r="B116" s="60" t="s">
        <v>322</v>
      </c>
      <c r="C116" s="60" t="s">
        <v>323</v>
      </c>
      <c r="D116" s="61"/>
      <c r="E116" s="61"/>
      <c r="F116" s="7" t="n">
        <f aca="false">COUNTIF(D116, "*")</f>
        <v>0</v>
      </c>
      <c r="G116" s="7" t="n">
        <f aca="false">COUNTIF('ISO27k Gap Analysis Questions'!M120, "1")</f>
        <v>0</v>
      </c>
      <c r="H116" s="5"/>
      <c r="I116" s="5"/>
      <c r="J116" s="5"/>
      <c r="K116" s="5"/>
      <c r="L116" s="5"/>
      <c r="M116" s="5"/>
      <c r="N116" s="5"/>
      <c r="O116" s="5"/>
      <c r="P116" s="5"/>
      <c r="Q116" s="5"/>
      <c r="R116" s="5"/>
      <c r="S116" s="5"/>
      <c r="T116" s="5"/>
      <c r="U116" s="5"/>
      <c r="V116" s="5"/>
      <c r="W116" s="5"/>
      <c r="X116" s="5"/>
      <c r="Y116" s="5"/>
      <c r="Z116" s="5"/>
    </row>
    <row r="117" customFormat="false" ht="13.5" hidden="false" customHeight="true" outlineLevel="0" collapsed="false">
      <c r="A117" s="39" t="n">
        <v>1</v>
      </c>
      <c r="B117" s="64" t="n">
        <v>6.5</v>
      </c>
      <c r="C117" s="56" t="s">
        <v>325</v>
      </c>
      <c r="D117" s="57"/>
      <c r="E117" s="57"/>
      <c r="F117" s="7" t="n">
        <f aca="false">COUNTIF(D117, "*")</f>
        <v>0</v>
      </c>
      <c r="G117" s="7" t="n">
        <f aca="false">COUNTIF('ISO27k Gap Analysis Questions'!M121, "1")</f>
        <v>0</v>
      </c>
      <c r="H117" s="5"/>
      <c r="I117" s="5"/>
      <c r="J117" s="5"/>
      <c r="K117" s="5"/>
      <c r="L117" s="5"/>
      <c r="M117" s="5"/>
      <c r="N117" s="5"/>
      <c r="O117" s="5"/>
      <c r="P117" s="5"/>
      <c r="Q117" s="5"/>
      <c r="R117" s="5"/>
      <c r="S117" s="5"/>
      <c r="T117" s="5"/>
      <c r="U117" s="5"/>
      <c r="V117" s="5"/>
      <c r="W117" s="5"/>
      <c r="X117" s="5"/>
      <c r="Y117" s="5"/>
      <c r="Z117" s="5"/>
    </row>
    <row r="118" customFormat="false" ht="13.5" hidden="false" customHeight="true" outlineLevel="0" collapsed="false">
      <c r="A118" s="39" t="n">
        <v>1</v>
      </c>
      <c r="B118" s="60" t="s">
        <v>327</v>
      </c>
      <c r="C118" s="60" t="s">
        <v>328</v>
      </c>
      <c r="D118" s="61"/>
      <c r="E118" s="61"/>
      <c r="F118" s="7" t="n">
        <f aca="false">COUNTIF(D118, "*")</f>
        <v>0</v>
      </c>
      <c r="G118" s="7" t="n">
        <f aca="false">COUNTIF('ISO27k Gap Analysis Questions'!M122, "1")</f>
        <v>0</v>
      </c>
      <c r="H118" s="5"/>
      <c r="I118" s="5"/>
      <c r="J118" s="5"/>
      <c r="K118" s="5"/>
      <c r="L118" s="5"/>
      <c r="M118" s="5"/>
      <c r="N118" s="5"/>
      <c r="O118" s="5"/>
      <c r="P118" s="5"/>
      <c r="Q118" s="5"/>
      <c r="R118" s="5"/>
      <c r="S118" s="5"/>
      <c r="T118" s="5"/>
      <c r="U118" s="5"/>
      <c r="V118" s="5"/>
      <c r="W118" s="5"/>
      <c r="X118" s="5"/>
      <c r="Y118" s="5"/>
      <c r="Z118" s="5"/>
    </row>
    <row r="119" customFormat="false" ht="13.5" hidden="false" customHeight="true" outlineLevel="0" collapsed="false">
      <c r="A119" s="39" t="n">
        <v>1</v>
      </c>
      <c r="B119" s="60" t="s">
        <v>330</v>
      </c>
      <c r="C119" s="60" t="s">
        <v>331</v>
      </c>
      <c r="D119" s="61"/>
      <c r="E119" s="61"/>
      <c r="F119" s="7" t="n">
        <f aca="false">COUNTIF(D119, "*")</f>
        <v>0</v>
      </c>
      <c r="G119" s="7" t="n">
        <f aca="false">COUNTIF('ISO27k Gap Analysis Questions'!M123, "1")</f>
        <v>0</v>
      </c>
      <c r="H119" s="5"/>
      <c r="I119" s="5"/>
      <c r="J119" s="5"/>
      <c r="K119" s="5"/>
      <c r="L119" s="5"/>
      <c r="M119" s="5"/>
      <c r="N119" s="5"/>
      <c r="O119" s="5"/>
      <c r="P119" s="5"/>
      <c r="Q119" s="5"/>
      <c r="R119" s="5"/>
      <c r="S119" s="5"/>
      <c r="T119" s="5"/>
      <c r="U119" s="5"/>
      <c r="V119" s="5"/>
      <c r="W119" s="5"/>
      <c r="X119" s="5"/>
      <c r="Y119" s="5"/>
      <c r="Z119" s="5"/>
    </row>
    <row r="120" customFormat="false" ht="13.5" hidden="false" customHeight="true" outlineLevel="0" collapsed="false">
      <c r="A120" s="39" t="n">
        <v>1</v>
      </c>
      <c r="B120" s="60" t="s">
        <v>333</v>
      </c>
      <c r="C120" s="60" t="s">
        <v>334</v>
      </c>
      <c r="D120" s="61"/>
      <c r="E120" s="61"/>
      <c r="F120" s="7" t="n">
        <f aca="false">COUNTIF(D120, "*")</f>
        <v>0</v>
      </c>
      <c r="G120" s="7" t="n">
        <f aca="false">COUNTIF('ISO27k Gap Analysis Questions'!M124, "1")</f>
        <v>0</v>
      </c>
      <c r="H120" s="5"/>
      <c r="I120" s="5"/>
      <c r="J120" s="5"/>
      <c r="K120" s="5"/>
      <c r="L120" s="5"/>
      <c r="M120" s="5"/>
      <c r="N120" s="5"/>
      <c r="O120" s="5"/>
      <c r="P120" s="5"/>
      <c r="Q120" s="5"/>
      <c r="R120" s="5"/>
      <c r="S120" s="5"/>
      <c r="T120" s="5"/>
      <c r="U120" s="5"/>
      <c r="V120" s="5"/>
      <c r="W120" s="5"/>
      <c r="X120" s="5"/>
      <c r="Y120" s="5"/>
      <c r="Z120" s="5"/>
    </row>
    <row r="121" customFormat="false" ht="13.5" hidden="false" customHeight="true" outlineLevel="0" collapsed="false">
      <c r="A121" s="39" t="n">
        <v>1</v>
      </c>
      <c r="B121" s="64" t="s">
        <v>336</v>
      </c>
      <c r="C121" s="56" t="s">
        <v>337</v>
      </c>
      <c r="D121" s="57"/>
      <c r="E121" s="57"/>
      <c r="F121" s="7" t="n">
        <f aca="false">COUNTIF(D121, "*")</f>
        <v>0</v>
      </c>
      <c r="G121" s="7" t="n">
        <f aca="false">COUNTIF('ISO27k Gap Analysis Questions'!M125, "1")</f>
        <v>0</v>
      </c>
      <c r="H121" s="5"/>
      <c r="I121" s="5"/>
      <c r="J121" s="5"/>
      <c r="K121" s="5"/>
      <c r="L121" s="5"/>
      <c r="M121" s="5"/>
      <c r="N121" s="5"/>
      <c r="O121" s="5"/>
      <c r="P121" s="5"/>
      <c r="Q121" s="5"/>
      <c r="R121" s="5"/>
      <c r="S121" s="5"/>
      <c r="T121" s="5"/>
      <c r="U121" s="5"/>
      <c r="V121" s="5"/>
      <c r="W121" s="5"/>
      <c r="X121" s="5"/>
      <c r="Y121" s="5"/>
      <c r="Z121" s="5"/>
    </row>
    <row r="122" customFormat="false" ht="13.5" hidden="false" customHeight="true" outlineLevel="0" collapsed="false">
      <c r="A122" s="39" t="n">
        <v>1</v>
      </c>
      <c r="B122" s="64" t="s">
        <v>339</v>
      </c>
      <c r="C122" s="56" t="s">
        <v>340</v>
      </c>
      <c r="D122" s="57"/>
      <c r="E122" s="57"/>
      <c r="F122" s="7" t="n">
        <f aca="false">COUNTIF(D122, "*")</f>
        <v>0</v>
      </c>
      <c r="G122" s="7" t="n">
        <f aca="false">COUNTIF('ISO27k Gap Analysis Questions'!M126, "1")</f>
        <v>0</v>
      </c>
      <c r="H122" s="5"/>
      <c r="I122" s="5"/>
      <c r="J122" s="5"/>
      <c r="K122" s="5"/>
      <c r="L122" s="5"/>
      <c r="M122" s="5"/>
      <c r="N122" s="5"/>
      <c r="O122" s="5"/>
      <c r="P122" s="5"/>
      <c r="Q122" s="5"/>
      <c r="R122" s="5"/>
      <c r="S122" s="5"/>
      <c r="T122" s="5"/>
      <c r="U122" s="5"/>
      <c r="V122" s="5"/>
      <c r="W122" s="5"/>
      <c r="X122" s="5"/>
      <c r="Y122" s="5"/>
      <c r="Z122" s="5"/>
    </row>
    <row r="123" customFormat="false" ht="13.5" hidden="false" customHeight="true" outlineLevel="0" collapsed="false">
      <c r="A123" s="39" t="n">
        <v>1</v>
      </c>
      <c r="B123" s="60" t="n">
        <v>6.8</v>
      </c>
      <c r="C123" s="60" t="s">
        <v>342</v>
      </c>
      <c r="D123" s="61"/>
      <c r="E123" s="61"/>
      <c r="F123" s="7" t="n">
        <f aca="false">COUNTIF(D123, "*")</f>
        <v>0</v>
      </c>
      <c r="G123" s="7" t="n">
        <f aca="false">COUNTIF('ISO27k Gap Analysis Questions'!M127, "1")</f>
        <v>0</v>
      </c>
      <c r="H123" s="5"/>
      <c r="I123" s="5"/>
      <c r="J123" s="5"/>
      <c r="K123" s="5"/>
      <c r="L123" s="5"/>
      <c r="M123" s="5"/>
      <c r="N123" s="5"/>
      <c r="O123" s="5"/>
      <c r="P123" s="5"/>
      <c r="Q123" s="5"/>
      <c r="R123" s="5"/>
      <c r="S123" s="5"/>
      <c r="T123" s="5"/>
      <c r="U123" s="5"/>
      <c r="V123" s="5"/>
      <c r="W123" s="5"/>
      <c r="X123" s="5"/>
      <c r="Y123" s="5"/>
      <c r="Z123" s="5"/>
    </row>
    <row r="124" customFormat="false" ht="39.75" hidden="false" customHeight="true" outlineLevel="0" collapsed="false">
      <c r="A124" s="39"/>
      <c r="B124" s="75" t="s">
        <v>344</v>
      </c>
      <c r="C124" s="75"/>
      <c r="D124" s="75"/>
      <c r="E124" s="75"/>
      <c r="F124" s="7"/>
      <c r="G124" s="7"/>
      <c r="H124" s="5"/>
      <c r="I124" s="5"/>
      <c r="J124" s="5"/>
      <c r="K124" s="5"/>
      <c r="L124" s="5"/>
      <c r="M124" s="5"/>
      <c r="N124" s="5"/>
      <c r="O124" s="5"/>
      <c r="P124" s="5"/>
      <c r="Q124" s="5"/>
      <c r="R124" s="5"/>
      <c r="S124" s="5"/>
      <c r="T124" s="5"/>
      <c r="U124" s="5"/>
      <c r="V124" s="5"/>
      <c r="W124" s="5"/>
      <c r="X124" s="5"/>
      <c r="Y124" s="5"/>
      <c r="Z124" s="5"/>
    </row>
    <row r="125" customFormat="false" ht="13.5" hidden="false" customHeight="true" outlineLevel="0" collapsed="false">
      <c r="A125" s="39" t="n">
        <v>1</v>
      </c>
      <c r="B125" s="64" t="n">
        <v>7.1</v>
      </c>
      <c r="C125" s="56" t="s">
        <v>345</v>
      </c>
      <c r="D125" s="57"/>
      <c r="E125" s="57"/>
      <c r="F125" s="7" t="n">
        <f aca="false">COUNTIF(D125, "*")</f>
        <v>0</v>
      </c>
      <c r="G125" s="7" t="n">
        <f aca="false">COUNTIF('ISO27k Gap Analysis Questions'!M129, "1")</f>
        <v>0</v>
      </c>
      <c r="H125" s="5"/>
      <c r="I125" s="5"/>
      <c r="J125" s="5"/>
      <c r="K125" s="5"/>
      <c r="L125" s="5"/>
      <c r="M125" s="5"/>
      <c r="N125" s="5"/>
      <c r="O125" s="5"/>
      <c r="P125" s="5"/>
      <c r="Q125" s="5"/>
      <c r="R125" s="5"/>
      <c r="S125" s="5"/>
      <c r="T125" s="5"/>
      <c r="U125" s="5"/>
      <c r="V125" s="5"/>
      <c r="W125" s="5"/>
      <c r="X125" s="5"/>
      <c r="Y125" s="5"/>
      <c r="Z125" s="5"/>
    </row>
    <row r="126" customFormat="false" ht="13.5" hidden="false" customHeight="true" outlineLevel="0" collapsed="false">
      <c r="A126" s="39" t="n">
        <v>1</v>
      </c>
      <c r="B126" s="60" t="n">
        <v>7.2</v>
      </c>
      <c r="C126" s="60" t="s">
        <v>347</v>
      </c>
      <c r="D126" s="61"/>
      <c r="E126" s="61"/>
      <c r="F126" s="7" t="n">
        <f aca="false">COUNTIF(D126, "*")</f>
        <v>0</v>
      </c>
      <c r="G126" s="7" t="n">
        <f aca="false">COUNTIF('ISO27k Gap Analysis Questions'!M130, "1")</f>
        <v>0</v>
      </c>
      <c r="H126" s="5"/>
      <c r="I126" s="5"/>
      <c r="J126" s="5"/>
      <c r="K126" s="5"/>
      <c r="L126" s="5"/>
      <c r="M126" s="5"/>
      <c r="N126" s="5"/>
      <c r="O126" s="5"/>
      <c r="P126" s="5"/>
      <c r="Q126" s="5"/>
      <c r="R126" s="5"/>
      <c r="S126" s="5"/>
      <c r="T126" s="5"/>
      <c r="U126" s="5"/>
      <c r="V126" s="5"/>
      <c r="W126" s="5"/>
      <c r="X126" s="5"/>
      <c r="Y126" s="5"/>
      <c r="Z126" s="5"/>
    </row>
    <row r="127" customFormat="false" ht="13.5" hidden="false" customHeight="true" outlineLevel="0" collapsed="false">
      <c r="A127" s="39" t="n">
        <v>1</v>
      </c>
      <c r="B127" s="64" t="n">
        <v>7.3</v>
      </c>
      <c r="C127" s="56" t="s">
        <v>349</v>
      </c>
      <c r="D127" s="57"/>
      <c r="E127" s="57"/>
      <c r="F127" s="7" t="n">
        <f aca="false">COUNTIF(D127, "*")</f>
        <v>0</v>
      </c>
      <c r="G127" s="7" t="n">
        <f aca="false">COUNTIF('ISO27k Gap Analysis Questions'!M131, "1")</f>
        <v>0</v>
      </c>
      <c r="H127" s="5"/>
      <c r="I127" s="5"/>
      <c r="J127" s="5"/>
      <c r="K127" s="5"/>
      <c r="L127" s="5"/>
      <c r="M127" s="5"/>
      <c r="N127" s="5"/>
      <c r="O127" s="5"/>
      <c r="P127" s="5"/>
      <c r="Q127" s="5"/>
      <c r="R127" s="5"/>
      <c r="S127" s="5"/>
      <c r="T127" s="5"/>
      <c r="U127" s="5"/>
      <c r="V127" s="5"/>
      <c r="W127" s="5"/>
      <c r="X127" s="5"/>
      <c r="Y127" s="5"/>
      <c r="Z127" s="5"/>
    </row>
    <row r="128" customFormat="false" ht="13.5" hidden="false" customHeight="true" outlineLevel="0" collapsed="false">
      <c r="A128" s="39" t="n">
        <v>1</v>
      </c>
      <c r="B128" s="60" t="n">
        <v>7.4</v>
      </c>
      <c r="C128" s="60" t="s">
        <v>351</v>
      </c>
      <c r="D128" s="61"/>
      <c r="E128" s="61"/>
      <c r="F128" s="7" t="n">
        <f aca="false">COUNTIF(D128, "*")</f>
        <v>0</v>
      </c>
      <c r="G128" s="7" t="n">
        <f aca="false">COUNTIF('ISO27k Gap Analysis Questions'!M132, "1")</f>
        <v>0</v>
      </c>
      <c r="H128" s="5"/>
      <c r="I128" s="5"/>
      <c r="J128" s="5"/>
      <c r="K128" s="5"/>
      <c r="L128" s="5"/>
      <c r="M128" s="5"/>
      <c r="N128" s="5"/>
      <c r="O128" s="5"/>
      <c r="P128" s="5"/>
      <c r="Q128" s="5"/>
      <c r="R128" s="5"/>
      <c r="S128" s="5"/>
      <c r="T128" s="5"/>
      <c r="U128" s="5"/>
      <c r="V128" s="5"/>
      <c r="W128" s="5"/>
      <c r="X128" s="5"/>
      <c r="Y128" s="5"/>
      <c r="Z128" s="5"/>
    </row>
    <row r="129" customFormat="false" ht="13.5" hidden="false" customHeight="true" outlineLevel="0" collapsed="false">
      <c r="A129" s="39" t="n">
        <v>1</v>
      </c>
      <c r="B129" s="64" t="n">
        <v>7.5</v>
      </c>
      <c r="C129" s="56" t="s">
        <v>353</v>
      </c>
      <c r="D129" s="57"/>
      <c r="E129" s="57"/>
      <c r="F129" s="7" t="n">
        <f aca="false">COUNTIF(D129, "*")</f>
        <v>0</v>
      </c>
      <c r="G129" s="7" t="n">
        <f aca="false">COUNTIF('ISO27k Gap Analysis Questions'!M133, "1")</f>
        <v>0</v>
      </c>
      <c r="H129" s="5"/>
      <c r="I129" s="5"/>
      <c r="J129" s="5"/>
      <c r="K129" s="5"/>
      <c r="L129" s="5"/>
      <c r="M129" s="5"/>
      <c r="N129" s="5"/>
      <c r="O129" s="5"/>
      <c r="P129" s="5"/>
      <c r="Q129" s="5"/>
      <c r="R129" s="5"/>
      <c r="S129" s="5"/>
      <c r="T129" s="5"/>
      <c r="U129" s="5"/>
      <c r="V129" s="5"/>
      <c r="W129" s="5"/>
      <c r="X129" s="5"/>
      <c r="Y129" s="5"/>
      <c r="Z129" s="5"/>
    </row>
    <row r="130" customFormat="false" ht="13.5" hidden="false" customHeight="true" outlineLevel="0" collapsed="false">
      <c r="A130" s="39" t="n">
        <v>1</v>
      </c>
      <c r="B130" s="60" t="n">
        <v>7.6</v>
      </c>
      <c r="C130" s="60" t="s">
        <v>355</v>
      </c>
      <c r="D130" s="61"/>
      <c r="E130" s="61"/>
      <c r="F130" s="7" t="n">
        <f aca="false">COUNTIF(D130, "*")</f>
        <v>0</v>
      </c>
      <c r="G130" s="7" t="n">
        <f aca="false">COUNTIF('ISO27k Gap Analysis Questions'!M134, "1")</f>
        <v>0</v>
      </c>
      <c r="H130" s="5"/>
      <c r="I130" s="5"/>
      <c r="J130" s="5"/>
      <c r="K130" s="5"/>
      <c r="L130" s="5"/>
      <c r="M130" s="5"/>
      <c r="N130" s="5"/>
      <c r="O130" s="5"/>
      <c r="P130" s="5"/>
      <c r="Q130" s="5"/>
      <c r="R130" s="5"/>
      <c r="S130" s="5"/>
      <c r="T130" s="5"/>
      <c r="U130" s="5"/>
      <c r="V130" s="5"/>
      <c r="W130" s="5"/>
      <c r="X130" s="5"/>
      <c r="Y130" s="5"/>
      <c r="Z130" s="5"/>
    </row>
    <row r="131" customFormat="false" ht="13.5" hidden="false" customHeight="true" outlineLevel="0" collapsed="false">
      <c r="A131" s="39" t="n">
        <v>1</v>
      </c>
      <c r="B131" s="64" t="n">
        <v>7.7</v>
      </c>
      <c r="C131" s="56" t="s">
        <v>357</v>
      </c>
      <c r="D131" s="57"/>
      <c r="E131" s="57"/>
      <c r="F131" s="7" t="n">
        <f aca="false">COUNTIF(D131, "*")</f>
        <v>0</v>
      </c>
      <c r="G131" s="7" t="n">
        <f aca="false">COUNTIF('ISO27k Gap Analysis Questions'!M135, "1")</f>
        <v>0</v>
      </c>
      <c r="H131" s="5"/>
      <c r="I131" s="5"/>
      <c r="J131" s="5"/>
      <c r="K131" s="5"/>
      <c r="L131" s="5"/>
      <c r="M131" s="5"/>
      <c r="N131" s="5"/>
      <c r="O131" s="5"/>
      <c r="P131" s="5"/>
      <c r="Q131" s="5"/>
      <c r="R131" s="5"/>
      <c r="S131" s="5"/>
      <c r="T131" s="5"/>
      <c r="U131" s="5"/>
      <c r="V131" s="5"/>
      <c r="W131" s="5"/>
      <c r="X131" s="5"/>
      <c r="Y131" s="5"/>
      <c r="Z131" s="5"/>
    </row>
    <row r="132" customFormat="false" ht="13.5" hidden="false" customHeight="true" outlineLevel="0" collapsed="false">
      <c r="A132" s="39" t="n">
        <v>1</v>
      </c>
      <c r="B132" s="60" t="n">
        <v>7.8</v>
      </c>
      <c r="C132" s="60" t="s">
        <v>359</v>
      </c>
      <c r="D132" s="61"/>
      <c r="E132" s="61"/>
      <c r="F132" s="7" t="n">
        <f aca="false">COUNTIF(D132, "*")</f>
        <v>0</v>
      </c>
      <c r="G132" s="7" t="n">
        <f aca="false">COUNTIF('ISO27k Gap Analysis Questions'!M136, "1")</f>
        <v>0</v>
      </c>
      <c r="H132" s="5"/>
      <c r="I132" s="5"/>
      <c r="J132" s="5"/>
      <c r="K132" s="5"/>
      <c r="L132" s="5"/>
      <c r="M132" s="5"/>
      <c r="N132" s="5"/>
      <c r="O132" s="5"/>
      <c r="P132" s="5"/>
      <c r="Q132" s="5"/>
      <c r="R132" s="5"/>
      <c r="S132" s="5"/>
      <c r="T132" s="5"/>
      <c r="U132" s="5"/>
      <c r="V132" s="5"/>
      <c r="W132" s="5"/>
      <c r="X132" s="5"/>
      <c r="Y132" s="5"/>
      <c r="Z132" s="5"/>
    </row>
    <row r="133" customFormat="false" ht="13.5" hidden="false" customHeight="true" outlineLevel="0" collapsed="false">
      <c r="A133" s="39" t="n">
        <v>1</v>
      </c>
      <c r="B133" s="64" t="n">
        <v>7.9</v>
      </c>
      <c r="C133" s="56" t="s">
        <v>361</v>
      </c>
      <c r="D133" s="57"/>
      <c r="E133" s="57"/>
      <c r="F133" s="7" t="n">
        <f aca="false">COUNTIF(D133, "*")</f>
        <v>0</v>
      </c>
      <c r="G133" s="7" t="n">
        <f aca="false">COUNTIF('ISO27k Gap Analysis Questions'!M137, "1")</f>
        <v>0</v>
      </c>
      <c r="H133" s="5"/>
      <c r="I133" s="5"/>
      <c r="J133" s="5"/>
      <c r="K133" s="5"/>
      <c r="L133" s="5"/>
      <c r="M133" s="5"/>
      <c r="N133" s="5"/>
      <c r="O133" s="5"/>
      <c r="P133" s="5"/>
      <c r="Q133" s="5"/>
      <c r="R133" s="5"/>
      <c r="S133" s="5"/>
      <c r="T133" s="5"/>
      <c r="U133" s="5"/>
      <c r="V133" s="5"/>
      <c r="W133" s="5"/>
      <c r="X133" s="5"/>
      <c r="Y133" s="5"/>
      <c r="Z133" s="5"/>
    </row>
    <row r="134" customFormat="false" ht="13.5" hidden="false" customHeight="true" outlineLevel="0" collapsed="false">
      <c r="A134" s="39" t="n">
        <v>1</v>
      </c>
      <c r="B134" s="60" t="n">
        <v>7.1</v>
      </c>
      <c r="C134" s="60" t="s">
        <v>363</v>
      </c>
      <c r="D134" s="61"/>
      <c r="E134" s="61"/>
      <c r="F134" s="7" t="n">
        <f aca="false">COUNTIF(D134, "*")</f>
        <v>0</v>
      </c>
      <c r="G134" s="7" t="n">
        <f aca="false">COUNTIF('ISO27k Gap Analysis Questions'!M138, "1")</f>
        <v>0</v>
      </c>
      <c r="H134" s="5"/>
      <c r="I134" s="5"/>
      <c r="J134" s="5"/>
      <c r="K134" s="5"/>
      <c r="L134" s="5"/>
      <c r="M134" s="5"/>
      <c r="N134" s="5"/>
      <c r="O134" s="5"/>
      <c r="P134" s="5"/>
      <c r="Q134" s="5"/>
      <c r="R134" s="5"/>
      <c r="S134" s="5"/>
      <c r="T134" s="5"/>
      <c r="U134" s="5"/>
      <c r="V134" s="5"/>
      <c r="W134" s="5"/>
      <c r="X134" s="5"/>
      <c r="Y134" s="5"/>
      <c r="Z134" s="5"/>
    </row>
    <row r="135" customFormat="false" ht="13.5" hidden="false" customHeight="true" outlineLevel="0" collapsed="false">
      <c r="A135" s="39" t="n">
        <v>1</v>
      </c>
      <c r="B135" s="62" t="n">
        <v>7.11</v>
      </c>
      <c r="C135" s="56" t="s">
        <v>365</v>
      </c>
      <c r="D135" s="57"/>
      <c r="E135" s="57"/>
      <c r="F135" s="7" t="n">
        <f aca="false">COUNTIF(D135, "*")</f>
        <v>0</v>
      </c>
      <c r="G135" s="7" t="n">
        <f aca="false">COUNTIF('ISO27k Gap Analysis Questions'!M139, "1")</f>
        <v>0</v>
      </c>
      <c r="H135" s="5"/>
      <c r="I135" s="5"/>
      <c r="J135" s="5"/>
      <c r="K135" s="5"/>
      <c r="L135" s="5"/>
      <c r="M135" s="5"/>
      <c r="N135" s="5"/>
      <c r="O135" s="5"/>
      <c r="P135" s="5"/>
      <c r="Q135" s="5"/>
      <c r="R135" s="5"/>
      <c r="S135" s="5"/>
      <c r="T135" s="5"/>
      <c r="U135" s="5"/>
      <c r="V135" s="5"/>
      <c r="W135" s="5"/>
      <c r="X135" s="5"/>
      <c r="Y135" s="5"/>
      <c r="Z135" s="5"/>
    </row>
    <row r="136" customFormat="false" ht="13.5" hidden="false" customHeight="true" outlineLevel="0" collapsed="false">
      <c r="A136" s="39" t="n">
        <v>1</v>
      </c>
      <c r="B136" s="60" t="n">
        <v>7.12</v>
      </c>
      <c r="C136" s="60" t="s">
        <v>367</v>
      </c>
      <c r="D136" s="61"/>
      <c r="E136" s="61"/>
      <c r="F136" s="7" t="n">
        <f aca="false">COUNTIF(D136, "*")</f>
        <v>0</v>
      </c>
      <c r="G136" s="7" t="n">
        <f aca="false">COUNTIF('ISO27k Gap Analysis Questions'!M140, "1")</f>
        <v>0</v>
      </c>
      <c r="H136" s="5"/>
      <c r="I136" s="5"/>
      <c r="J136" s="5"/>
      <c r="K136" s="5"/>
      <c r="L136" s="5"/>
      <c r="M136" s="5"/>
      <c r="N136" s="5"/>
      <c r="O136" s="5"/>
      <c r="P136" s="5"/>
      <c r="Q136" s="5"/>
      <c r="R136" s="5"/>
      <c r="S136" s="5"/>
      <c r="T136" s="5"/>
      <c r="U136" s="5"/>
      <c r="V136" s="5"/>
      <c r="W136" s="5"/>
      <c r="X136" s="5"/>
      <c r="Y136" s="5"/>
      <c r="Z136" s="5"/>
    </row>
    <row r="137" customFormat="false" ht="13.5" hidden="false" customHeight="true" outlineLevel="0" collapsed="false">
      <c r="A137" s="39" t="n">
        <v>1</v>
      </c>
      <c r="B137" s="62" t="n">
        <v>7.13</v>
      </c>
      <c r="C137" s="66" t="s">
        <v>369</v>
      </c>
      <c r="D137" s="57"/>
      <c r="E137" s="57"/>
      <c r="F137" s="7" t="n">
        <f aca="false">COUNTIF(D137, "*")</f>
        <v>0</v>
      </c>
      <c r="G137" s="7" t="n">
        <f aca="false">COUNTIF('ISO27k Gap Analysis Questions'!M141, "1")</f>
        <v>0</v>
      </c>
      <c r="H137" s="5"/>
      <c r="I137" s="5"/>
      <c r="J137" s="5"/>
      <c r="K137" s="5"/>
      <c r="L137" s="5"/>
      <c r="M137" s="5"/>
      <c r="N137" s="5"/>
      <c r="O137" s="5"/>
      <c r="P137" s="5"/>
      <c r="Q137" s="5"/>
      <c r="R137" s="5"/>
      <c r="S137" s="5"/>
      <c r="T137" s="5"/>
      <c r="U137" s="5"/>
      <c r="V137" s="5"/>
      <c r="W137" s="5"/>
      <c r="X137" s="5"/>
      <c r="Y137" s="5"/>
      <c r="Z137" s="5"/>
    </row>
    <row r="138" customFormat="false" ht="13.5" hidden="false" customHeight="true" outlineLevel="0" collapsed="false">
      <c r="A138" s="39" t="n">
        <v>1</v>
      </c>
      <c r="B138" s="60" t="n">
        <v>7.14</v>
      </c>
      <c r="C138" s="60" t="s">
        <v>371</v>
      </c>
      <c r="D138" s="61"/>
      <c r="E138" s="61"/>
      <c r="F138" s="7" t="n">
        <f aca="false">COUNTIF(D138, "*")</f>
        <v>0</v>
      </c>
      <c r="G138" s="7" t="n">
        <f aca="false">COUNTIF('ISO27k Gap Analysis Questions'!M142, "1")</f>
        <v>0</v>
      </c>
      <c r="H138" s="5"/>
      <c r="I138" s="5"/>
      <c r="J138" s="5"/>
      <c r="K138" s="5"/>
      <c r="L138" s="5"/>
      <c r="M138" s="5"/>
      <c r="N138" s="5"/>
      <c r="O138" s="5"/>
      <c r="P138" s="5"/>
      <c r="Q138" s="5"/>
      <c r="R138" s="5"/>
      <c r="S138" s="5"/>
      <c r="T138" s="5"/>
      <c r="U138" s="5"/>
      <c r="V138" s="5"/>
      <c r="W138" s="5"/>
      <c r="X138" s="5"/>
      <c r="Y138" s="5"/>
      <c r="Z138" s="5"/>
    </row>
    <row r="139" customFormat="false" ht="39.75" hidden="false" customHeight="true" outlineLevel="0" collapsed="false">
      <c r="A139" s="39"/>
      <c r="B139" s="75" t="s">
        <v>373</v>
      </c>
      <c r="C139" s="75"/>
      <c r="D139" s="75"/>
      <c r="E139" s="75"/>
      <c r="F139" s="7"/>
      <c r="G139" s="7"/>
      <c r="H139" s="5"/>
      <c r="I139" s="5"/>
      <c r="J139" s="5"/>
      <c r="K139" s="5"/>
      <c r="L139" s="5"/>
      <c r="M139" s="5"/>
      <c r="N139" s="5"/>
      <c r="O139" s="5"/>
      <c r="P139" s="5"/>
      <c r="Q139" s="5"/>
      <c r="R139" s="5"/>
      <c r="S139" s="5"/>
      <c r="T139" s="5"/>
      <c r="U139" s="5"/>
      <c r="V139" s="5"/>
      <c r="W139" s="5"/>
      <c r="X139" s="5"/>
      <c r="Y139" s="5"/>
      <c r="Z139" s="5"/>
    </row>
    <row r="140" customFormat="false" ht="13.5" hidden="false" customHeight="true" outlineLevel="0" collapsed="false">
      <c r="A140" s="39" t="n">
        <v>1</v>
      </c>
      <c r="B140" s="67" t="n">
        <v>8.1</v>
      </c>
      <c r="C140" s="68" t="s">
        <v>374</v>
      </c>
      <c r="D140" s="57"/>
      <c r="E140" s="57"/>
      <c r="F140" s="7" t="n">
        <f aca="false">COUNTIF(D140, "*")</f>
        <v>0</v>
      </c>
      <c r="G140" s="7" t="n">
        <f aca="false">COUNTIF('ISO27k Gap Analysis Questions'!M144, "1")</f>
        <v>0</v>
      </c>
      <c r="H140" s="5"/>
      <c r="I140" s="5"/>
      <c r="J140" s="5"/>
      <c r="K140" s="5"/>
      <c r="L140" s="5"/>
      <c r="M140" s="5"/>
      <c r="N140" s="5"/>
      <c r="O140" s="5"/>
      <c r="P140" s="5"/>
      <c r="Q140" s="5"/>
      <c r="R140" s="5"/>
      <c r="S140" s="5"/>
      <c r="T140" s="5"/>
      <c r="U140" s="5"/>
      <c r="V140" s="5"/>
      <c r="W140" s="5"/>
      <c r="X140" s="5"/>
      <c r="Y140" s="5"/>
      <c r="Z140" s="5"/>
    </row>
    <row r="141" customFormat="false" ht="13.5" hidden="false" customHeight="true" outlineLevel="0" collapsed="false">
      <c r="A141" s="39" t="n">
        <v>1</v>
      </c>
      <c r="B141" s="60" t="n">
        <v>8.2</v>
      </c>
      <c r="C141" s="60" t="s">
        <v>376</v>
      </c>
      <c r="D141" s="61"/>
      <c r="E141" s="61"/>
      <c r="F141" s="7" t="n">
        <f aca="false">COUNTIF(D141, "*")</f>
        <v>0</v>
      </c>
      <c r="G141" s="7" t="n">
        <f aca="false">COUNTIF('ISO27k Gap Analysis Questions'!M145, "1")</f>
        <v>0</v>
      </c>
      <c r="H141" s="5"/>
      <c r="I141" s="5"/>
      <c r="J141" s="5"/>
      <c r="K141" s="5"/>
      <c r="L141" s="5"/>
      <c r="M141" s="5"/>
      <c r="N141" s="5"/>
      <c r="O141" s="5"/>
      <c r="P141" s="5"/>
      <c r="Q141" s="5"/>
      <c r="R141" s="5"/>
      <c r="S141" s="5"/>
      <c r="T141" s="5"/>
      <c r="U141" s="5"/>
      <c r="V141" s="5"/>
      <c r="W141" s="5"/>
      <c r="X141" s="5"/>
      <c r="Y141" s="5"/>
      <c r="Z141" s="5"/>
    </row>
    <row r="142" customFormat="false" ht="13.5" hidden="false" customHeight="true" outlineLevel="0" collapsed="false">
      <c r="A142" s="39" t="n">
        <v>1</v>
      </c>
      <c r="B142" s="67" t="n">
        <v>8.3</v>
      </c>
      <c r="C142" s="68" t="s">
        <v>378</v>
      </c>
      <c r="D142" s="57"/>
      <c r="E142" s="57"/>
      <c r="F142" s="7" t="n">
        <f aca="false">COUNTIF(D142, "*")</f>
        <v>0</v>
      </c>
      <c r="G142" s="7" t="n">
        <f aca="false">COUNTIF('ISO27k Gap Analysis Questions'!M146, "1")</f>
        <v>0</v>
      </c>
      <c r="H142" s="5"/>
      <c r="I142" s="5"/>
      <c r="J142" s="5"/>
      <c r="K142" s="5"/>
      <c r="L142" s="5"/>
      <c r="M142" s="5"/>
      <c r="N142" s="5"/>
      <c r="O142" s="5"/>
      <c r="P142" s="5"/>
      <c r="Q142" s="5"/>
      <c r="R142" s="5"/>
      <c r="S142" s="5"/>
      <c r="T142" s="5"/>
      <c r="U142" s="5"/>
      <c r="V142" s="5"/>
      <c r="W142" s="5"/>
      <c r="X142" s="5"/>
      <c r="Y142" s="5"/>
      <c r="Z142" s="5"/>
    </row>
    <row r="143" customFormat="false" ht="13.5" hidden="false" customHeight="true" outlineLevel="0" collapsed="false">
      <c r="A143" s="39" t="n">
        <v>1</v>
      </c>
      <c r="B143" s="60" t="n">
        <v>8.4</v>
      </c>
      <c r="C143" s="60" t="s">
        <v>380</v>
      </c>
      <c r="D143" s="61"/>
      <c r="E143" s="61"/>
      <c r="F143" s="7" t="n">
        <f aca="false">COUNTIF(D143, "*")</f>
        <v>0</v>
      </c>
      <c r="G143" s="7" t="n">
        <f aca="false">COUNTIF('ISO27k Gap Analysis Questions'!M147, "1")</f>
        <v>0</v>
      </c>
      <c r="H143" s="5"/>
      <c r="I143" s="5"/>
      <c r="J143" s="5"/>
      <c r="K143" s="5"/>
      <c r="L143" s="5"/>
      <c r="M143" s="5"/>
      <c r="N143" s="5"/>
      <c r="O143" s="5"/>
      <c r="P143" s="5"/>
      <c r="Q143" s="5"/>
      <c r="R143" s="5"/>
      <c r="S143" s="5"/>
      <c r="T143" s="5"/>
      <c r="U143" s="5"/>
      <c r="V143" s="5"/>
      <c r="W143" s="5"/>
      <c r="X143" s="5"/>
      <c r="Y143" s="5"/>
      <c r="Z143" s="5"/>
    </row>
    <row r="144" customFormat="false" ht="13.5" hidden="false" customHeight="true" outlineLevel="0" collapsed="false">
      <c r="A144" s="39" t="n">
        <v>1</v>
      </c>
      <c r="B144" s="67" t="n">
        <v>8.5</v>
      </c>
      <c r="C144" s="68" t="s">
        <v>382</v>
      </c>
      <c r="D144" s="57"/>
      <c r="E144" s="57"/>
      <c r="F144" s="7" t="n">
        <f aca="false">COUNTIF(D144, "*")</f>
        <v>0</v>
      </c>
      <c r="G144" s="7" t="n">
        <f aca="false">COUNTIF('ISO27k Gap Analysis Questions'!M148, "1")</f>
        <v>0</v>
      </c>
      <c r="H144" s="5"/>
      <c r="I144" s="5"/>
      <c r="J144" s="5"/>
      <c r="K144" s="5"/>
      <c r="L144" s="5"/>
      <c r="M144" s="5"/>
      <c r="N144" s="5"/>
      <c r="O144" s="5"/>
      <c r="P144" s="5"/>
      <c r="Q144" s="5"/>
      <c r="R144" s="5"/>
      <c r="S144" s="5"/>
      <c r="T144" s="5"/>
      <c r="U144" s="5"/>
      <c r="V144" s="5"/>
      <c r="W144" s="5"/>
      <c r="X144" s="5"/>
      <c r="Y144" s="5"/>
      <c r="Z144" s="5"/>
    </row>
    <row r="145" customFormat="false" ht="13.5" hidden="false" customHeight="true" outlineLevel="0" collapsed="false">
      <c r="A145" s="39" t="n">
        <v>1</v>
      </c>
      <c r="B145" s="60" t="n">
        <v>8.6</v>
      </c>
      <c r="C145" s="60" t="s">
        <v>384</v>
      </c>
      <c r="D145" s="61"/>
      <c r="E145" s="61"/>
      <c r="F145" s="7" t="n">
        <f aca="false">COUNTIF(D145, "*")</f>
        <v>0</v>
      </c>
      <c r="G145" s="7" t="n">
        <f aca="false">COUNTIF('ISO27k Gap Analysis Questions'!M149, "1")</f>
        <v>0</v>
      </c>
      <c r="H145" s="5"/>
      <c r="I145" s="5"/>
      <c r="J145" s="5"/>
      <c r="K145" s="5"/>
      <c r="L145" s="5"/>
      <c r="M145" s="5"/>
      <c r="N145" s="5"/>
      <c r="O145" s="5"/>
      <c r="P145" s="5"/>
      <c r="Q145" s="5"/>
      <c r="R145" s="5"/>
      <c r="S145" s="5"/>
      <c r="T145" s="5"/>
      <c r="U145" s="5"/>
      <c r="V145" s="5"/>
      <c r="W145" s="5"/>
      <c r="X145" s="5"/>
      <c r="Y145" s="5"/>
      <c r="Z145" s="5"/>
    </row>
    <row r="146" customFormat="false" ht="13.5" hidden="false" customHeight="true" outlineLevel="0" collapsed="false">
      <c r="A146" s="39" t="n">
        <v>1</v>
      </c>
      <c r="B146" s="64" t="s">
        <v>386</v>
      </c>
      <c r="C146" s="54" t="s">
        <v>387</v>
      </c>
      <c r="D146" s="57"/>
      <c r="E146" s="57"/>
      <c r="F146" s="7" t="n">
        <f aca="false">COUNTIF(D146, "*")</f>
        <v>0</v>
      </c>
      <c r="G146" s="7" t="n">
        <f aca="false">COUNTIF('ISO27k Gap Analysis Questions'!M150, "1")</f>
        <v>0</v>
      </c>
      <c r="H146" s="5"/>
      <c r="I146" s="5"/>
      <c r="J146" s="5"/>
      <c r="K146" s="5"/>
      <c r="L146" s="5"/>
      <c r="M146" s="5"/>
      <c r="N146" s="5"/>
      <c r="O146" s="5"/>
      <c r="P146" s="5"/>
      <c r="Q146" s="5"/>
      <c r="R146" s="5"/>
      <c r="S146" s="5"/>
      <c r="T146" s="5"/>
      <c r="U146" s="5"/>
      <c r="V146" s="5"/>
      <c r="W146" s="5"/>
      <c r="X146" s="5"/>
      <c r="Y146" s="5"/>
      <c r="Z146" s="5"/>
    </row>
    <row r="147" customFormat="false" ht="13.5" hidden="false" customHeight="true" outlineLevel="0" collapsed="false">
      <c r="A147" s="39" t="n">
        <v>1</v>
      </c>
      <c r="B147" s="64" t="s">
        <v>389</v>
      </c>
      <c r="C147" s="56" t="s">
        <v>390</v>
      </c>
      <c r="D147" s="57"/>
      <c r="E147" s="57"/>
      <c r="F147" s="7" t="n">
        <f aca="false">COUNTIF(D147, "*")</f>
        <v>0</v>
      </c>
      <c r="G147" s="7" t="n">
        <f aca="false">COUNTIF('ISO27k Gap Analysis Questions'!M151, "1")</f>
        <v>0</v>
      </c>
      <c r="H147" s="5"/>
      <c r="I147" s="5"/>
      <c r="J147" s="5"/>
      <c r="K147" s="5"/>
      <c r="L147" s="5"/>
      <c r="M147" s="5"/>
      <c r="N147" s="5"/>
      <c r="O147" s="5"/>
      <c r="P147" s="5"/>
      <c r="Q147" s="5"/>
      <c r="R147" s="5"/>
      <c r="S147" s="5"/>
      <c r="T147" s="5"/>
      <c r="U147" s="5"/>
      <c r="V147" s="5"/>
      <c r="W147" s="5"/>
      <c r="X147" s="5"/>
      <c r="Y147" s="5"/>
      <c r="Z147" s="5"/>
    </row>
    <row r="148" customFormat="false" ht="13.5" hidden="false" customHeight="true" outlineLevel="0" collapsed="false">
      <c r="A148" s="39" t="n">
        <v>1</v>
      </c>
      <c r="B148" s="60" t="s">
        <v>392</v>
      </c>
      <c r="C148" s="60" t="s">
        <v>393</v>
      </c>
      <c r="D148" s="61"/>
      <c r="E148" s="61"/>
      <c r="F148" s="7" t="n">
        <f aca="false">COUNTIF(D148, "*")</f>
        <v>0</v>
      </c>
      <c r="G148" s="7" t="n">
        <f aca="false">COUNTIF('ISO27k Gap Analysis Questions'!M152, "1")</f>
        <v>0</v>
      </c>
      <c r="H148" s="5"/>
      <c r="I148" s="5"/>
      <c r="J148" s="5"/>
      <c r="K148" s="5"/>
      <c r="L148" s="5"/>
      <c r="M148" s="5"/>
      <c r="N148" s="5"/>
      <c r="O148" s="5"/>
      <c r="P148" s="5"/>
      <c r="Q148" s="5"/>
      <c r="R148" s="5"/>
      <c r="S148" s="5"/>
      <c r="T148" s="5"/>
      <c r="U148" s="5"/>
      <c r="V148" s="5"/>
      <c r="W148" s="5"/>
      <c r="X148" s="5"/>
      <c r="Y148" s="5"/>
      <c r="Z148" s="5"/>
    </row>
    <row r="149" customFormat="false" ht="13.5" hidden="false" customHeight="true" outlineLevel="0" collapsed="false">
      <c r="A149" s="39" t="n">
        <v>1</v>
      </c>
      <c r="B149" s="60" t="s">
        <v>395</v>
      </c>
      <c r="C149" s="60" t="s">
        <v>396</v>
      </c>
      <c r="D149" s="61"/>
      <c r="E149" s="61"/>
      <c r="F149" s="7" t="n">
        <f aca="false">COUNTIF(D149, "*")</f>
        <v>0</v>
      </c>
      <c r="G149" s="7" t="n">
        <f aca="false">COUNTIF('ISO27k Gap Analysis Questions'!M153, "1")</f>
        <v>0</v>
      </c>
      <c r="H149" s="5"/>
      <c r="I149" s="5"/>
      <c r="J149" s="5"/>
      <c r="K149" s="5"/>
      <c r="L149" s="5"/>
      <c r="M149" s="5"/>
      <c r="N149" s="5"/>
      <c r="O149" s="5"/>
      <c r="P149" s="5"/>
      <c r="Q149" s="5"/>
      <c r="R149" s="5"/>
      <c r="S149" s="5"/>
      <c r="T149" s="5"/>
      <c r="U149" s="5"/>
      <c r="V149" s="5"/>
      <c r="W149" s="5"/>
      <c r="X149" s="5"/>
      <c r="Y149" s="5"/>
      <c r="Z149" s="5"/>
    </row>
    <row r="150" customFormat="false" ht="13.5" hidden="false" customHeight="true" outlineLevel="0" collapsed="false">
      <c r="A150" s="39" t="n">
        <v>1</v>
      </c>
      <c r="B150" s="64" t="s">
        <v>398</v>
      </c>
      <c r="C150" s="56" t="s">
        <v>399</v>
      </c>
      <c r="D150" s="57"/>
      <c r="E150" s="57"/>
      <c r="F150" s="7" t="n">
        <f aca="false">COUNTIF(D150, "*")</f>
        <v>0</v>
      </c>
      <c r="G150" s="7" t="n">
        <f aca="false">COUNTIF('ISO27k Gap Analysis Questions'!M154, "1")</f>
        <v>0</v>
      </c>
      <c r="H150" s="5"/>
      <c r="I150" s="5"/>
      <c r="J150" s="5"/>
      <c r="K150" s="5"/>
      <c r="L150" s="5"/>
      <c r="M150" s="5"/>
      <c r="N150" s="5"/>
      <c r="O150" s="5"/>
      <c r="P150" s="5"/>
      <c r="Q150" s="5"/>
      <c r="R150" s="5"/>
      <c r="S150" s="5"/>
      <c r="T150" s="5"/>
      <c r="U150" s="5"/>
      <c r="V150" s="5"/>
      <c r="W150" s="5"/>
      <c r="X150" s="5"/>
      <c r="Y150" s="5"/>
      <c r="Z150" s="5"/>
    </row>
    <row r="151" customFormat="false" ht="13.5" hidden="false" customHeight="true" outlineLevel="0" collapsed="false">
      <c r="A151" s="39" t="n">
        <v>1</v>
      </c>
      <c r="B151" s="64" t="s">
        <v>401</v>
      </c>
      <c r="C151" s="56" t="s">
        <v>402</v>
      </c>
      <c r="D151" s="57"/>
      <c r="E151" s="57"/>
      <c r="F151" s="7" t="n">
        <f aca="false">COUNTIF(D151, "*")</f>
        <v>0</v>
      </c>
      <c r="G151" s="7" t="n">
        <f aca="false">COUNTIF('ISO27k Gap Analysis Questions'!M155, "1")</f>
        <v>0</v>
      </c>
      <c r="H151" s="5"/>
      <c r="I151" s="5"/>
      <c r="J151" s="5"/>
      <c r="K151" s="5"/>
      <c r="L151" s="5"/>
      <c r="M151" s="5"/>
      <c r="N151" s="5"/>
      <c r="O151" s="5"/>
      <c r="P151" s="5"/>
      <c r="Q151" s="5"/>
      <c r="R151" s="5"/>
      <c r="S151" s="5"/>
      <c r="T151" s="5"/>
      <c r="U151" s="5"/>
      <c r="V151" s="5"/>
      <c r="W151" s="5"/>
      <c r="X151" s="5"/>
      <c r="Y151" s="5"/>
      <c r="Z151" s="5"/>
    </row>
    <row r="152" customFormat="false" ht="13.5" hidden="false" customHeight="true" outlineLevel="0" collapsed="false">
      <c r="A152" s="39" t="n">
        <v>1</v>
      </c>
      <c r="B152" s="65" t="n">
        <v>8.1</v>
      </c>
      <c r="C152" s="60" t="s">
        <v>404</v>
      </c>
      <c r="D152" s="61"/>
      <c r="E152" s="61"/>
      <c r="F152" s="7" t="n">
        <f aca="false">COUNTIF(D152, "*")</f>
        <v>0</v>
      </c>
      <c r="G152" s="7" t="n">
        <f aca="false">COUNTIF('ISO27k Gap Analysis Questions'!M156, "1")</f>
        <v>0</v>
      </c>
      <c r="H152" s="5"/>
      <c r="I152" s="5"/>
      <c r="J152" s="5"/>
      <c r="K152" s="5"/>
      <c r="L152" s="5"/>
      <c r="M152" s="5"/>
      <c r="N152" s="5"/>
      <c r="O152" s="5"/>
      <c r="P152" s="5"/>
      <c r="Q152" s="5"/>
      <c r="R152" s="5"/>
      <c r="S152" s="5"/>
      <c r="T152" s="5"/>
      <c r="U152" s="5"/>
      <c r="V152" s="5"/>
      <c r="W152" s="5"/>
      <c r="X152" s="5"/>
      <c r="Y152" s="5"/>
      <c r="Z152" s="5"/>
    </row>
    <row r="153" customFormat="false" ht="13.5" hidden="false" customHeight="true" outlineLevel="0" collapsed="false">
      <c r="A153" s="39" t="n">
        <v>1</v>
      </c>
      <c r="B153" s="62" t="n">
        <v>8.11</v>
      </c>
      <c r="C153" s="56" t="s">
        <v>406</v>
      </c>
      <c r="D153" s="57"/>
      <c r="E153" s="57"/>
      <c r="F153" s="7" t="n">
        <f aca="false">COUNTIF(D153, "*")</f>
        <v>0</v>
      </c>
      <c r="G153" s="7" t="n">
        <f aca="false">COUNTIF('ISO27k Gap Analysis Questions'!M157, "1")</f>
        <v>0</v>
      </c>
      <c r="H153" s="5"/>
      <c r="I153" s="5"/>
      <c r="J153" s="5"/>
      <c r="K153" s="5"/>
      <c r="L153" s="5"/>
      <c r="M153" s="5"/>
      <c r="N153" s="5"/>
      <c r="O153" s="5"/>
      <c r="P153" s="5"/>
      <c r="Q153" s="5"/>
      <c r="R153" s="5"/>
      <c r="S153" s="5"/>
      <c r="T153" s="5"/>
      <c r="U153" s="5"/>
      <c r="V153" s="5"/>
      <c r="W153" s="5"/>
      <c r="X153" s="5"/>
      <c r="Y153" s="5"/>
      <c r="Z153" s="5"/>
    </row>
    <row r="154" customFormat="false" ht="13.5" hidden="false" customHeight="true" outlineLevel="0" collapsed="false">
      <c r="A154" s="39" t="n">
        <v>1</v>
      </c>
      <c r="B154" s="60" t="n">
        <v>8.12</v>
      </c>
      <c r="C154" s="60" t="s">
        <v>408</v>
      </c>
      <c r="D154" s="61"/>
      <c r="E154" s="61"/>
      <c r="F154" s="7" t="n">
        <f aca="false">COUNTIF(D154, "*")</f>
        <v>0</v>
      </c>
      <c r="G154" s="7" t="n">
        <f aca="false">COUNTIF('ISO27k Gap Analysis Questions'!M158, "1")</f>
        <v>0</v>
      </c>
      <c r="H154" s="5"/>
      <c r="I154" s="5"/>
      <c r="J154" s="5"/>
      <c r="K154" s="5"/>
      <c r="L154" s="5"/>
      <c r="M154" s="5"/>
      <c r="N154" s="5"/>
      <c r="O154" s="5"/>
      <c r="P154" s="5"/>
      <c r="Q154" s="5"/>
      <c r="R154" s="5"/>
      <c r="S154" s="5"/>
      <c r="T154" s="5"/>
      <c r="U154" s="5"/>
      <c r="V154" s="5"/>
      <c r="W154" s="5"/>
      <c r="X154" s="5"/>
      <c r="Y154" s="5"/>
      <c r="Z154" s="5"/>
    </row>
    <row r="155" customFormat="false" ht="13.5" hidden="false" customHeight="true" outlineLevel="0" collapsed="false">
      <c r="A155" s="39" t="n">
        <v>1</v>
      </c>
      <c r="B155" s="62" t="n">
        <v>8.13</v>
      </c>
      <c r="C155" s="56" t="s">
        <v>410</v>
      </c>
      <c r="D155" s="57"/>
      <c r="E155" s="57"/>
      <c r="F155" s="7" t="n">
        <f aca="false">COUNTIF(D155, "*")</f>
        <v>0</v>
      </c>
      <c r="G155" s="7" t="n">
        <f aca="false">COUNTIF('ISO27k Gap Analysis Questions'!M159, "1")</f>
        <v>0</v>
      </c>
      <c r="H155" s="5"/>
      <c r="I155" s="5"/>
      <c r="J155" s="5"/>
      <c r="K155" s="5"/>
      <c r="L155" s="5"/>
      <c r="M155" s="5"/>
      <c r="N155" s="5"/>
      <c r="O155" s="5"/>
      <c r="P155" s="5"/>
      <c r="Q155" s="5"/>
      <c r="R155" s="5"/>
      <c r="S155" s="5"/>
      <c r="T155" s="5"/>
      <c r="U155" s="5"/>
      <c r="V155" s="5"/>
      <c r="W155" s="5"/>
      <c r="X155" s="5"/>
      <c r="Y155" s="5"/>
      <c r="Z155" s="5"/>
    </row>
    <row r="156" customFormat="false" ht="13.5" hidden="false" customHeight="true" outlineLevel="0" collapsed="false">
      <c r="A156" s="39" t="n">
        <v>1</v>
      </c>
      <c r="B156" s="60" t="n">
        <v>8.14</v>
      </c>
      <c r="C156" s="60" t="s">
        <v>412</v>
      </c>
      <c r="D156" s="61"/>
      <c r="E156" s="61"/>
      <c r="F156" s="7" t="n">
        <f aca="false">COUNTIF(D156, "*")</f>
        <v>0</v>
      </c>
      <c r="G156" s="7" t="n">
        <f aca="false">COUNTIF('ISO27k Gap Analysis Questions'!M160, "1")</f>
        <v>0</v>
      </c>
      <c r="H156" s="5"/>
      <c r="I156" s="5"/>
      <c r="J156" s="5"/>
      <c r="K156" s="5"/>
      <c r="L156" s="5"/>
      <c r="M156" s="5"/>
      <c r="N156" s="5"/>
      <c r="O156" s="5"/>
      <c r="P156" s="5"/>
      <c r="Q156" s="5"/>
      <c r="R156" s="5"/>
      <c r="S156" s="5"/>
      <c r="T156" s="5"/>
      <c r="U156" s="5"/>
      <c r="V156" s="5"/>
      <c r="W156" s="5"/>
      <c r="X156" s="5"/>
      <c r="Y156" s="5"/>
      <c r="Z156" s="5"/>
    </row>
    <row r="157" customFormat="false" ht="13.5" hidden="false" customHeight="true" outlineLevel="0" collapsed="false">
      <c r="A157" s="39" t="n">
        <v>1</v>
      </c>
      <c r="B157" s="62" t="n">
        <v>8.15</v>
      </c>
      <c r="C157" s="56" t="s">
        <v>414</v>
      </c>
      <c r="D157" s="57"/>
      <c r="E157" s="57"/>
      <c r="F157" s="7" t="n">
        <f aca="false">COUNTIF(D157, "*")</f>
        <v>0</v>
      </c>
      <c r="G157" s="7" t="n">
        <f aca="false">COUNTIF('ISO27k Gap Analysis Questions'!M161, "1")</f>
        <v>0</v>
      </c>
      <c r="H157" s="5"/>
      <c r="I157" s="5"/>
      <c r="J157" s="5"/>
      <c r="K157" s="5"/>
      <c r="L157" s="5"/>
      <c r="M157" s="5"/>
      <c r="N157" s="5"/>
      <c r="O157" s="5"/>
      <c r="P157" s="5"/>
      <c r="Q157" s="5"/>
      <c r="R157" s="5"/>
      <c r="S157" s="5"/>
      <c r="T157" s="5"/>
      <c r="U157" s="5"/>
      <c r="V157" s="5"/>
      <c r="W157" s="5"/>
      <c r="X157" s="5"/>
      <c r="Y157" s="5"/>
      <c r="Z157" s="5"/>
    </row>
    <row r="158" customFormat="false" ht="13.5" hidden="false" customHeight="true" outlineLevel="0" collapsed="false">
      <c r="A158" s="39" t="n">
        <v>1</v>
      </c>
      <c r="B158" s="60" t="s">
        <v>416</v>
      </c>
      <c r="C158" s="60" t="s">
        <v>417</v>
      </c>
      <c r="D158" s="61"/>
      <c r="E158" s="61"/>
      <c r="F158" s="7" t="n">
        <f aca="false">COUNTIF(D158, "*")</f>
        <v>0</v>
      </c>
      <c r="G158" s="7" t="n">
        <f aca="false">COUNTIF('ISO27k Gap Analysis Questions'!M162, "1")</f>
        <v>0</v>
      </c>
      <c r="H158" s="5"/>
      <c r="I158" s="5"/>
      <c r="J158" s="5"/>
      <c r="K158" s="5"/>
      <c r="L158" s="5"/>
      <c r="M158" s="5"/>
      <c r="N158" s="5"/>
      <c r="O158" s="5"/>
      <c r="P158" s="5"/>
      <c r="Q158" s="5"/>
      <c r="R158" s="5"/>
      <c r="S158" s="5"/>
      <c r="T158" s="5"/>
      <c r="U158" s="5"/>
      <c r="V158" s="5"/>
      <c r="W158" s="5"/>
      <c r="X158" s="5"/>
      <c r="Y158" s="5"/>
      <c r="Z158" s="5"/>
    </row>
    <row r="159" customFormat="false" ht="13.5" hidden="false" customHeight="true" outlineLevel="0" collapsed="false">
      <c r="A159" s="39" t="n">
        <v>1</v>
      </c>
      <c r="B159" s="60" t="s">
        <v>419</v>
      </c>
      <c r="C159" s="60" t="s">
        <v>420</v>
      </c>
      <c r="D159" s="61"/>
      <c r="E159" s="61"/>
      <c r="F159" s="7" t="n">
        <f aca="false">COUNTIF(D159, "*")</f>
        <v>0</v>
      </c>
      <c r="G159" s="7" t="n">
        <f aca="false">COUNTIF('ISO27k Gap Analysis Questions'!M163, "1")</f>
        <v>0</v>
      </c>
      <c r="H159" s="5"/>
      <c r="I159" s="5"/>
      <c r="J159" s="5"/>
      <c r="K159" s="5"/>
      <c r="L159" s="5"/>
      <c r="M159" s="5"/>
      <c r="N159" s="5"/>
      <c r="O159" s="5"/>
      <c r="P159" s="5"/>
      <c r="Q159" s="5"/>
      <c r="R159" s="5"/>
      <c r="S159" s="5"/>
      <c r="T159" s="5"/>
      <c r="U159" s="5"/>
      <c r="V159" s="5"/>
      <c r="W159" s="5"/>
      <c r="X159" s="5"/>
      <c r="Y159" s="5"/>
      <c r="Z159" s="5"/>
    </row>
    <row r="160" customFormat="false" ht="13.5" hidden="false" customHeight="true" outlineLevel="0" collapsed="false">
      <c r="A160" s="39" t="n">
        <v>1</v>
      </c>
      <c r="B160" s="62" t="n">
        <v>8.17</v>
      </c>
      <c r="C160" s="56" t="s">
        <v>422</v>
      </c>
      <c r="D160" s="57"/>
      <c r="E160" s="57"/>
      <c r="F160" s="7" t="n">
        <f aca="false">COUNTIF(D160, "*")</f>
        <v>0</v>
      </c>
      <c r="G160" s="7" t="n">
        <f aca="false">COUNTIF('ISO27k Gap Analysis Questions'!M164, "1")</f>
        <v>0</v>
      </c>
      <c r="H160" s="5"/>
      <c r="I160" s="5"/>
      <c r="J160" s="5"/>
      <c r="K160" s="5"/>
      <c r="L160" s="5"/>
      <c r="M160" s="5"/>
      <c r="N160" s="5"/>
      <c r="O160" s="5"/>
      <c r="P160" s="5"/>
      <c r="Q160" s="5"/>
      <c r="R160" s="5"/>
      <c r="S160" s="5"/>
      <c r="T160" s="5"/>
      <c r="U160" s="5"/>
      <c r="V160" s="5"/>
      <c r="W160" s="5"/>
      <c r="X160" s="5"/>
      <c r="Y160" s="5"/>
      <c r="Z160" s="5"/>
    </row>
    <row r="161" customFormat="false" ht="13.5" hidden="false" customHeight="true" outlineLevel="0" collapsed="false">
      <c r="A161" s="39" t="n">
        <v>1</v>
      </c>
      <c r="B161" s="60" t="n">
        <v>8.18</v>
      </c>
      <c r="C161" s="60" t="s">
        <v>424</v>
      </c>
      <c r="D161" s="61"/>
      <c r="E161" s="61"/>
      <c r="F161" s="7" t="n">
        <f aca="false">COUNTIF(D161, "*")</f>
        <v>0</v>
      </c>
      <c r="G161" s="7" t="n">
        <f aca="false">COUNTIF('ISO27k Gap Analysis Questions'!M165, "1")</f>
        <v>0</v>
      </c>
      <c r="H161" s="5"/>
      <c r="I161" s="5"/>
      <c r="J161" s="5"/>
      <c r="K161" s="5"/>
      <c r="L161" s="5"/>
      <c r="M161" s="5"/>
      <c r="N161" s="5"/>
      <c r="O161" s="5"/>
      <c r="P161" s="5"/>
      <c r="Q161" s="5"/>
      <c r="R161" s="5"/>
      <c r="S161" s="5"/>
      <c r="T161" s="5"/>
      <c r="U161" s="5"/>
      <c r="V161" s="5"/>
      <c r="W161" s="5"/>
      <c r="X161" s="5"/>
      <c r="Y161" s="5"/>
      <c r="Z161" s="5"/>
    </row>
    <row r="162" customFormat="false" ht="13.5" hidden="false" customHeight="true" outlineLevel="0" collapsed="false">
      <c r="A162" s="39" t="n">
        <v>1</v>
      </c>
      <c r="B162" s="62" t="n">
        <v>8.19</v>
      </c>
      <c r="C162" s="56" t="s">
        <v>426</v>
      </c>
      <c r="D162" s="57"/>
      <c r="E162" s="57"/>
      <c r="F162" s="7" t="n">
        <f aca="false">COUNTIF(D162, "*")</f>
        <v>0</v>
      </c>
      <c r="G162" s="7" t="n">
        <f aca="false">COUNTIF('ISO27k Gap Analysis Questions'!M166, "1")</f>
        <v>0</v>
      </c>
      <c r="H162" s="5"/>
      <c r="I162" s="5"/>
      <c r="J162" s="5"/>
      <c r="K162" s="5"/>
      <c r="L162" s="5"/>
      <c r="M162" s="5"/>
      <c r="N162" s="5"/>
      <c r="O162" s="5"/>
      <c r="P162" s="5"/>
      <c r="Q162" s="5"/>
      <c r="R162" s="5"/>
      <c r="S162" s="5"/>
      <c r="T162" s="5"/>
      <c r="U162" s="5"/>
      <c r="V162" s="5"/>
      <c r="W162" s="5"/>
      <c r="X162" s="5"/>
      <c r="Y162" s="5"/>
      <c r="Z162" s="5"/>
    </row>
    <row r="163" customFormat="false" ht="13.5" hidden="false" customHeight="true" outlineLevel="0" collapsed="false">
      <c r="A163" s="39" t="n">
        <v>1</v>
      </c>
      <c r="B163" s="65" t="n">
        <v>8.2</v>
      </c>
      <c r="C163" s="60" t="s">
        <v>428</v>
      </c>
      <c r="D163" s="61"/>
      <c r="E163" s="61"/>
      <c r="F163" s="7" t="n">
        <f aca="false">COUNTIF(D163, "*")</f>
        <v>0</v>
      </c>
      <c r="G163" s="7" t="n">
        <f aca="false">COUNTIF('ISO27k Gap Analysis Questions'!M167, "1")</f>
        <v>0</v>
      </c>
      <c r="H163" s="5"/>
      <c r="I163" s="5"/>
      <c r="J163" s="5"/>
      <c r="K163" s="5"/>
      <c r="L163" s="5"/>
      <c r="M163" s="5"/>
      <c r="N163" s="5"/>
      <c r="O163" s="5"/>
      <c r="P163" s="5"/>
      <c r="Q163" s="5"/>
      <c r="R163" s="5"/>
      <c r="S163" s="5"/>
      <c r="T163" s="5"/>
      <c r="U163" s="5"/>
      <c r="V163" s="5"/>
      <c r="W163" s="5"/>
      <c r="X163" s="5"/>
      <c r="Y163" s="5"/>
      <c r="Z163" s="5"/>
    </row>
    <row r="164" customFormat="false" ht="13.5" hidden="false" customHeight="true" outlineLevel="0" collapsed="false">
      <c r="A164" s="39" t="n">
        <v>1</v>
      </c>
      <c r="B164" s="62" t="n">
        <v>8.21</v>
      </c>
      <c r="C164" s="56" t="s">
        <v>430</v>
      </c>
      <c r="D164" s="57"/>
      <c r="E164" s="57"/>
      <c r="F164" s="7" t="n">
        <f aca="false">COUNTIF(D164, "*")</f>
        <v>0</v>
      </c>
      <c r="G164" s="7" t="n">
        <f aca="false">COUNTIF('ISO27k Gap Analysis Questions'!M168, "1")</f>
        <v>0</v>
      </c>
      <c r="H164" s="5"/>
      <c r="I164" s="5"/>
      <c r="J164" s="5"/>
      <c r="K164" s="5"/>
      <c r="L164" s="5"/>
      <c r="M164" s="5"/>
      <c r="N164" s="5"/>
      <c r="O164" s="5"/>
      <c r="P164" s="5"/>
      <c r="Q164" s="5"/>
      <c r="R164" s="5"/>
      <c r="S164" s="5"/>
      <c r="T164" s="5"/>
      <c r="U164" s="5"/>
      <c r="V164" s="5"/>
      <c r="W164" s="5"/>
      <c r="X164" s="5"/>
      <c r="Y164" s="5"/>
      <c r="Z164" s="5"/>
    </row>
    <row r="165" customFormat="false" ht="13.5" hidden="false" customHeight="true" outlineLevel="0" collapsed="false">
      <c r="A165" s="39" t="n">
        <v>1</v>
      </c>
      <c r="B165" s="60" t="n">
        <v>8.22</v>
      </c>
      <c r="C165" s="60" t="s">
        <v>432</v>
      </c>
      <c r="D165" s="61"/>
      <c r="E165" s="61"/>
      <c r="F165" s="7" t="n">
        <f aca="false">COUNTIF(D165, "*")</f>
        <v>0</v>
      </c>
      <c r="G165" s="7" t="n">
        <f aca="false">COUNTIF('ISO27k Gap Analysis Questions'!M169, "1")</f>
        <v>0</v>
      </c>
      <c r="H165" s="5"/>
      <c r="I165" s="5"/>
      <c r="J165" s="5"/>
      <c r="K165" s="5"/>
      <c r="L165" s="5"/>
      <c r="M165" s="5"/>
      <c r="N165" s="5"/>
      <c r="O165" s="5"/>
      <c r="P165" s="5"/>
      <c r="Q165" s="5"/>
      <c r="R165" s="5"/>
      <c r="S165" s="5"/>
      <c r="T165" s="5"/>
      <c r="U165" s="5"/>
      <c r="V165" s="5"/>
      <c r="W165" s="5"/>
      <c r="X165" s="5"/>
      <c r="Y165" s="5"/>
      <c r="Z165" s="5"/>
    </row>
    <row r="166" customFormat="false" ht="13.5" hidden="false" customHeight="true" outlineLevel="0" collapsed="false">
      <c r="A166" s="39" t="n">
        <v>1</v>
      </c>
      <c r="B166" s="62" t="n">
        <v>8.23</v>
      </c>
      <c r="C166" s="56" t="s">
        <v>434</v>
      </c>
      <c r="D166" s="57"/>
      <c r="E166" s="57"/>
      <c r="F166" s="7" t="n">
        <f aca="false">COUNTIF(D166, "*")</f>
        <v>0</v>
      </c>
      <c r="G166" s="7" t="n">
        <f aca="false">COUNTIF('ISO27k Gap Analysis Questions'!M170, "1")</f>
        <v>0</v>
      </c>
      <c r="H166" s="5"/>
      <c r="I166" s="5"/>
      <c r="J166" s="5"/>
      <c r="K166" s="5"/>
      <c r="L166" s="5"/>
      <c r="M166" s="5"/>
      <c r="N166" s="5"/>
      <c r="O166" s="5"/>
      <c r="P166" s="5"/>
      <c r="Q166" s="5"/>
      <c r="R166" s="5"/>
      <c r="S166" s="5"/>
      <c r="T166" s="5"/>
      <c r="U166" s="5"/>
      <c r="V166" s="5"/>
      <c r="W166" s="5"/>
      <c r="X166" s="5"/>
      <c r="Y166" s="5"/>
      <c r="Z166" s="5"/>
    </row>
    <row r="167" customFormat="false" ht="13.5" hidden="false" customHeight="true" outlineLevel="0" collapsed="false">
      <c r="A167" s="39" t="n">
        <v>1</v>
      </c>
      <c r="B167" s="60" t="n">
        <v>8.24</v>
      </c>
      <c r="C167" s="60" t="s">
        <v>436</v>
      </c>
      <c r="D167" s="61"/>
      <c r="E167" s="61"/>
      <c r="F167" s="7" t="n">
        <f aca="false">COUNTIF(D167, "*")</f>
        <v>0</v>
      </c>
      <c r="G167" s="7" t="n">
        <f aca="false">COUNTIF('ISO27k Gap Analysis Questions'!M171, "1")</f>
        <v>0</v>
      </c>
      <c r="H167" s="5"/>
      <c r="I167" s="5"/>
      <c r="J167" s="5"/>
      <c r="K167" s="5"/>
      <c r="L167" s="5"/>
      <c r="M167" s="5"/>
      <c r="N167" s="5"/>
      <c r="O167" s="5"/>
      <c r="P167" s="5"/>
      <c r="Q167" s="5"/>
      <c r="R167" s="5"/>
      <c r="S167" s="5"/>
      <c r="T167" s="5"/>
      <c r="U167" s="5"/>
      <c r="V167" s="5"/>
      <c r="W167" s="5"/>
      <c r="X167" s="5"/>
      <c r="Y167" s="5"/>
      <c r="Z167" s="5"/>
    </row>
    <row r="168" customFormat="false" ht="13.5" hidden="false" customHeight="true" outlineLevel="0" collapsed="false">
      <c r="A168" s="39" t="n">
        <v>1</v>
      </c>
      <c r="B168" s="62" t="n">
        <v>8.25</v>
      </c>
      <c r="C168" s="56" t="s">
        <v>438</v>
      </c>
      <c r="D168" s="57"/>
      <c r="E168" s="57"/>
      <c r="F168" s="7" t="n">
        <f aca="false">COUNTIF(D168, "*")</f>
        <v>0</v>
      </c>
      <c r="G168" s="7" t="n">
        <f aca="false">COUNTIF('ISO27k Gap Analysis Questions'!M172, "1")</f>
        <v>0</v>
      </c>
      <c r="H168" s="5"/>
      <c r="I168" s="5"/>
      <c r="J168" s="5"/>
      <c r="K168" s="5"/>
      <c r="L168" s="5"/>
      <c r="M168" s="5"/>
      <c r="N168" s="5"/>
      <c r="O168" s="5"/>
      <c r="P168" s="5"/>
      <c r="Q168" s="5"/>
      <c r="R168" s="5"/>
      <c r="S168" s="5"/>
      <c r="T168" s="5"/>
      <c r="U168" s="5"/>
      <c r="V168" s="5"/>
      <c r="W168" s="5"/>
      <c r="X168" s="5"/>
      <c r="Y168" s="5"/>
      <c r="Z168" s="5"/>
    </row>
    <row r="169" customFormat="false" ht="13.5" hidden="false" customHeight="true" outlineLevel="0" collapsed="false">
      <c r="A169" s="39" t="n">
        <v>1</v>
      </c>
      <c r="B169" s="60" t="n">
        <v>8.26</v>
      </c>
      <c r="C169" s="60" t="s">
        <v>440</v>
      </c>
      <c r="D169" s="61"/>
      <c r="E169" s="61"/>
      <c r="F169" s="7" t="n">
        <f aca="false">COUNTIF(D169, "*")</f>
        <v>0</v>
      </c>
      <c r="G169" s="7" t="n">
        <f aca="false">COUNTIF('ISO27k Gap Analysis Questions'!M173, "1")</f>
        <v>0</v>
      </c>
      <c r="H169" s="42"/>
      <c r="I169" s="42"/>
      <c r="J169" s="42"/>
      <c r="K169" s="42"/>
      <c r="L169" s="42"/>
      <c r="M169" s="42"/>
      <c r="N169" s="42"/>
      <c r="O169" s="42"/>
      <c r="P169" s="42"/>
      <c r="Q169" s="42"/>
      <c r="R169" s="42"/>
      <c r="S169" s="42"/>
      <c r="T169" s="42"/>
      <c r="U169" s="42"/>
      <c r="V169" s="42"/>
      <c r="W169" s="42"/>
      <c r="X169" s="42"/>
      <c r="Y169" s="42"/>
      <c r="Z169" s="42"/>
    </row>
    <row r="170" customFormat="false" ht="13.5" hidden="false" customHeight="true" outlineLevel="0" collapsed="false">
      <c r="A170" s="39" t="n">
        <v>1</v>
      </c>
      <c r="B170" s="62" t="n">
        <v>8.27</v>
      </c>
      <c r="C170" s="56" t="s">
        <v>442</v>
      </c>
      <c r="D170" s="57"/>
      <c r="E170" s="57"/>
      <c r="F170" s="7" t="n">
        <f aca="false">COUNTIF(D170, "*")</f>
        <v>0</v>
      </c>
      <c r="G170" s="7" t="n">
        <f aca="false">COUNTIF('ISO27k Gap Analysis Questions'!M174, "1")</f>
        <v>0</v>
      </c>
      <c r="H170" s="42"/>
      <c r="I170" s="42"/>
      <c r="J170" s="42"/>
      <c r="K170" s="42"/>
      <c r="L170" s="42"/>
      <c r="M170" s="42"/>
      <c r="N170" s="42"/>
      <c r="O170" s="42"/>
      <c r="P170" s="42"/>
      <c r="Q170" s="42"/>
      <c r="R170" s="42"/>
      <c r="S170" s="42"/>
      <c r="T170" s="42"/>
      <c r="U170" s="42"/>
      <c r="V170" s="42"/>
      <c r="W170" s="42"/>
      <c r="X170" s="42"/>
      <c r="Y170" s="42"/>
      <c r="Z170" s="42"/>
    </row>
    <row r="171" customFormat="false" ht="13.5" hidden="false" customHeight="true" outlineLevel="0" collapsed="false">
      <c r="A171" s="39" t="n">
        <v>1</v>
      </c>
      <c r="B171" s="60" t="n">
        <v>8.28</v>
      </c>
      <c r="C171" s="60" t="s">
        <v>444</v>
      </c>
      <c r="D171" s="61"/>
      <c r="E171" s="61"/>
      <c r="F171" s="7" t="n">
        <f aca="false">COUNTIF(D171, "*")</f>
        <v>0</v>
      </c>
      <c r="G171" s="7" t="n">
        <f aca="false">COUNTIF('ISO27k Gap Analysis Questions'!M175, "1")</f>
        <v>0</v>
      </c>
      <c r="H171" s="42"/>
      <c r="I171" s="42"/>
      <c r="J171" s="42"/>
      <c r="K171" s="42"/>
      <c r="L171" s="42"/>
      <c r="M171" s="42"/>
      <c r="N171" s="42"/>
      <c r="O171" s="42"/>
      <c r="P171" s="42"/>
      <c r="Q171" s="42"/>
      <c r="R171" s="42"/>
      <c r="S171" s="42"/>
      <c r="T171" s="42"/>
      <c r="U171" s="42"/>
      <c r="V171" s="42"/>
      <c r="W171" s="42"/>
      <c r="X171" s="42"/>
      <c r="Y171" s="42"/>
      <c r="Z171" s="42"/>
    </row>
    <row r="172" customFormat="false" ht="13.5" hidden="false" customHeight="true" outlineLevel="0" collapsed="false">
      <c r="A172" s="39" t="n">
        <v>1</v>
      </c>
      <c r="B172" s="62" t="n">
        <v>8.29</v>
      </c>
      <c r="C172" s="56" t="s">
        <v>446</v>
      </c>
      <c r="D172" s="57"/>
      <c r="E172" s="57"/>
      <c r="F172" s="7" t="n">
        <f aca="false">COUNTIF(D172, "*")</f>
        <v>0</v>
      </c>
      <c r="G172" s="7" t="n">
        <f aca="false">COUNTIF('ISO27k Gap Analysis Questions'!M176, "1")</f>
        <v>0</v>
      </c>
      <c r="H172" s="42"/>
      <c r="I172" s="42"/>
      <c r="J172" s="42"/>
      <c r="K172" s="42"/>
      <c r="L172" s="42"/>
      <c r="M172" s="42"/>
      <c r="N172" s="42"/>
      <c r="O172" s="42"/>
      <c r="P172" s="42"/>
      <c r="Q172" s="42"/>
      <c r="R172" s="42"/>
      <c r="S172" s="42"/>
      <c r="T172" s="42"/>
      <c r="U172" s="42"/>
      <c r="V172" s="42"/>
      <c r="W172" s="42"/>
      <c r="X172" s="42"/>
      <c r="Y172" s="42"/>
      <c r="Z172" s="42"/>
    </row>
    <row r="173" customFormat="false" ht="13.5" hidden="false" customHeight="true" outlineLevel="0" collapsed="false">
      <c r="A173" s="39" t="n">
        <v>1</v>
      </c>
      <c r="B173" s="65" t="n">
        <v>8.3</v>
      </c>
      <c r="C173" s="60" t="s">
        <v>448</v>
      </c>
      <c r="D173" s="61"/>
      <c r="E173" s="61"/>
      <c r="F173" s="7" t="n">
        <f aca="false">COUNTIF(D173, "*")</f>
        <v>0</v>
      </c>
      <c r="G173" s="7" t="n">
        <f aca="false">COUNTIF('ISO27k Gap Analysis Questions'!M177, "1")</f>
        <v>0</v>
      </c>
      <c r="H173" s="42"/>
      <c r="I173" s="42"/>
      <c r="J173" s="42"/>
      <c r="K173" s="42"/>
      <c r="L173" s="42"/>
      <c r="M173" s="42"/>
      <c r="N173" s="42"/>
      <c r="O173" s="42"/>
      <c r="P173" s="42"/>
      <c r="Q173" s="42"/>
      <c r="R173" s="42"/>
      <c r="S173" s="42"/>
      <c r="T173" s="42"/>
      <c r="U173" s="42"/>
      <c r="V173" s="42"/>
      <c r="W173" s="42"/>
      <c r="X173" s="42"/>
      <c r="Y173" s="42"/>
      <c r="Z173" s="42"/>
    </row>
    <row r="174" customFormat="false" ht="13.5" hidden="false" customHeight="true" outlineLevel="0" collapsed="false">
      <c r="A174" s="39" t="n">
        <v>1</v>
      </c>
      <c r="B174" s="62" t="n">
        <v>8.31</v>
      </c>
      <c r="C174" s="56" t="s">
        <v>450</v>
      </c>
      <c r="D174" s="57"/>
      <c r="E174" s="57"/>
      <c r="F174" s="7" t="n">
        <f aca="false">COUNTIF(D174, "*")</f>
        <v>0</v>
      </c>
      <c r="G174" s="7" t="n">
        <f aca="false">COUNTIF('ISO27k Gap Analysis Questions'!M178, "1")</f>
        <v>0</v>
      </c>
      <c r="H174" s="42"/>
      <c r="I174" s="42"/>
      <c r="J174" s="42"/>
      <c r="K174" s="42"/>
      <c r="L174" s="42"/>
      <c r="M174" s="42"/>
      <c r="N174" s="42"/>
      <c r="O174" s="42"/>
      <c r="P174" s="42"/>
      <c r="Q174" s="42"/>
      <c r="R174" s="42"/>
      <c r="S174" s="42"/>
      <c r="T174" s="42"/>
      <c r="U174" s="42"/>
      <c r="V174" s="42"/>
      <c r="W174" s="42"/>
      <c r="X174" s="42"/>
      <c r="Y174" s="42"/>
      <c r="Z174" s="42"/>
    </row>
    <row r="175" customFormat="false" ht="13.5" hidden="false" customHeight="true" outlineLevel="0" collapsed="false">
      <c r="A175" s="39" t="n">
        <v>1</v>
      </c>
      <c r="B175" s="60" t="n">
        <v>8.32</v>
      </c>
      <c r="C175" s="60" t="s">
        <v>452</v>
      </c>
      <c r="D175" s="61"/>
      <c r="E175" s="61"/>
      <c r="F175" s="7" t="n">
        <f aca="false">COUNTIF(D175, "*")</f>
        <v>0</v>
      </c>
      <c r="G175" s="7" t="n">
        <f aca="false">COUNTIF('ISO27k Gap Analysis Questions'!M179, "1")</f>
        <v>0</v>
      </c>
      <c r="H175" s="42"/>
      <c r="I175" s="42"/>
      <c r="J175" s="42"/>
      <c r="K175" s="42"/>
      <c r="L175" s="42"/>
      <c r="M175" s="42"/>
      <c r="N175" s="42"/>
      <c r="O175" s="42"/>
      <c r="P175" s="42"/>
      <c r="Q175" s="42"/>
      <c r="R175" s="42"/>
      <c r="S175" s="42"/>
      <c r="T175" s="42"/>
      <c r="U175" s="42"/>
      <c r="V175" s="42"/>
      <c r="W175" s="42"/>
      <c r="X175" s="42"/>
      <c r="Y175" s="42"/>
      <c r="Z175" s="42"/>
    </row>
    <row r="176" customFormat="false" ht="13.5" hidden="false" customHeight="true" outlineLevel="0" collapsed="false">
      <c r="A176" s="39" t="n">
        <v>1</v>
      </c>
      <c r="B176" s="62" t="n">
        <v>8.33</v>
      </c>
      <c r="C176" s="56" t="s">
        <v>454</v>
      </c>
      <c r="D176" s="57"/>
      <c r="E176" s="57"/>
      <c r="F176" s="7" t="n">
        <f aca="false">COUNTIF(D176, "*")</f>
        <v>0</v>
      </c>
      <c r="G176" s="7" t="n">
        <f aca="false">COUNTIF('ISO27k Gap Analysis Questions'!M180, "1")</f>
        <v>0</v>
      </c>
      <c r="H176" s="42"/>
      <c r="I176" s="42"/>
      <c r="J176" s="42"/>
      <c r="K176" s="42"/>
      <c r="L176" s="42"/>
      <c r="M176" s="42"/>
      <c r="N176" s="42"/>
      <c r="O176" s="42"/>
      <c r="P176" s="42"/>
      <c r="Q176" s="42"/>
      <c r="R176" s="42"/>
      <c r="S176" s="42"/>
      <c r="T176" s="42"/>
      <c r="U176" s="42"/>
      <c r="V176" s="42"/>
      <c r="W176" s="42"/>
      <c r="X176" s="42"/>
      <c r="Y176" s="42"/>
      <c r="Z176" s="42"/>
    </row>
    <row r="177" customFormat="false" ht="13.5" hidden="false" customHeight="true" outlineLevel="0" collapsed="false">
      <c r="A177" s="39" t="n">
        <v>1</v>
      </c>
      <c r="B177" s="60" t="n">
        <v>8.34</v>
      </c>
      <c r="C177" s="60" t="s">
        <v>456</v>
      </c>
      <c r="D177" s="61"/>
      <c r="E177" s="61"/>
      <c r="F177" s="7" t="n">
        <f aca="false">COUNTIF(D177, "*")</f>
        <v>0</v>
      </c>
      <c r="G177" s="7" t="n">
        <f aca="false">COUNTIF('ISO27k Gap Analysis Questions'!M181, "1")</f>
        <v>0</v>
      </c>
      <c r="H177" s="42"/>
      <c r="I177" s="42"/>
      <c r="J177" s="42"/>
      <c r="K177" s="42"/>
      <c r="L177" s="42"/>
      <c r="M177" s="42"/>
      <c r="N177" s="42"/>
      <c r="O177" s="42"/>
      <c r="P177" s="42"/>
      <c r="Q177" s="42"/>
      <c r="R177" s="42"/>
      <c r="S177" s="42"/>
      <c r="T177" s="42"/>
      <c r="U177" s="42"/>
      <c r="V177" s="42"/>
      <c r="W177" s="42"/>
      <c r="X177" s="42"/>
      <c r="Y177" s="42"/>
      <c r="Z177" s="42"/>
    </row>
    <row r="178" customFormat="false" ht="13.5" hidden="false" customHeight="true" outlineLevel="0" collapsed="false">
      <c r="A178" s="69"/>
      <c r="B178" s="7"/>
      <c r="C178" s="5"/>
      <c r="D178" s="7"/>
      <c r="E178" s="7"/>
      <c r="F178" s="42"/>
      <c r="G178" s="42"/>
      <c r="H178" s="42"/>
      <c r="I178" s="42"/>
      <c r="J178" s="42"/>
      <c r="K178" s="42"/>
      <c r="L178" s="42"/>
      <c r="M178" s="42"/>
      <c r="N178" s="42"/>
      <c r="O178" s="42"/>
      <c r="P178" s="42"/>
      <c r="Q178" s="42"/>
      <c r="R178" s="42"/>
      <c r="S178" s="42"/>
      <c r="T178" s="42"/>
      <c r="U178" s="42"/>
      <c r="V178" s="42"/>
      <c r="W178" s="42"/>
      <c r="X178" s="42"/>
      <c r="Y178" s="42"/>
      <c r="Z178" s="42"/>
    </row>
    <row r="179" customFormat="false" ht="13.5" hidden="false" customHeight="true" outlineLevel="0" collapsed="false">
      <c r="A179" s="69"/>
      <c r="B179" s="7"/>
      <c r="C179" s="5"/>
      <c r="D179" s="7"/>
      <c r="E179" s="7"/>
      <c r="F179" s="42"/>
      <c r="G179" s="42"/>
      <c r="H179" s="42"/>
      <c r="I179" s="42"/>
      <c r="J179" s="42"/>
      <c r="K179" s="42"/>
      <c r="L179" s="42"/>
      <c r="M179" s="42"/>
      <c r="N179" s="42"/>
      <c r="O179" s="42"/>
      <c r="P179" s="42"/>
      <c r="Q179" s="42"/>
      <c r="R179" s="42"/>
      <c r="S179" s="42"/>
      <c r="T179" s="42"/>
      <c r="U179" s="42"/>
      <c r="V179" s="42"/>
      <c r="W179" s="42"/>
      <c r="X179" s="42"/>
      <c r="Y179" s="42"/>
      <c r="Z179" s="42"/>
    </row>
    <row r="180" customFormat="false" ht="13.5" hidden="false" customHeight="true" outlineLevel="0" collapsed="false">
      <c r="A180" s="69"/>
      <c r="B180" s="7"/>
      <c r="C180" s="5"/>
      <c r="D180" s="7"/>
      <c r="E180" s="7"/>
      <c r="F180" s="42"/>
      <c r="G180" s="42"/>
      <c r="H180" s="42"/>
      <c r="I180" s="42"/>
      <c r="J180" s="42"/>
      <c r="K180" s="42"/>
      <c r="L180" s="42"/>
      <c r="M180" s="42"/>
      <c r="N180" s="42"/>
      <c r="O180" s="42"/>
      <c r="P180" s="42"/>
      <c r="Q180" s="42"/>
      <c r="R180" s="42"/>
      <c r="S180" s="42"/>
      <c r="T180" s="42"/>
      <c r="U180" s="42"/>
      <c r="V180" s="42"/>
      <c r="W180" s="42"/>
      <c r="X180" s="42"/>
      <c r="Y180" s="42"/>
      <c r="Z180" s="42"/>
    </row>
    <row r="181" customFormat="false" ht="13.5" hidden="false" customHeight="true" outlineLevel="0" collapsed="false">
      <c r="A181" s="69"/>
      <c r="B181" s="7"/>
      <c r="C181" s="5"/>
      <c r="D181" s="7"/>
      <c r="E181" s="7"/>
      <c r="F181" s="42"/>
      <c r="G181" s="42"/>
      <c r="H181" s="42"/>
      <c r="I181" s="42"/>
      <c r="J181" s="42"/>
      <c r="K181" s="42"/>
      <c r="L181" s="42"/>
      <c r="M181" s="42"/>
      <c r="N181" s="42"/>
      <c r="O181" s="42"/>
      <c r="P181" s="42"/>
      <c r="Q181" s="42"/>
      <c r="R181" s="42"/>
      <c r="S181" s="42"/>
      <c r="T181" s="42"/>
      <c r="U181" s="42"/>
      <c r="V181" s="42"/>
      <c r="W181" s="42"/>
      <c r="X181" s="42"/>
      <c r="Y181" s="42"/>
      <c r="Z181" s="42"/>
    </row>
    <row r="182" customFormat="false" ht="13.5" hidden="false" customHeight="true" outlineLevel="0" collapsed="false">
      <c r="A182" s="69"/>
      <c r="B182" s="7"/>
      <c r="C182" s="5"/>
      <c r="D182" s="7"/>
      <c r="E182" s="7"/>
      <c r="F182" s="42"/>
      <c r="G182" s="42"/>
      <c r="H182" s="42"/>
      <c r="I182" s="42"/>
      <c r="J182" s="42"/>
      <c r="K182" s="42"/>
      <c r="L182" s="42"/>
      <c r="M182" s="42"/>
      <c r="N182" s="42"/>
      <c r="O182" s="42"/>
      <c r="P182" s="42"/>
      <c r="Q182" s="42"/>
      <c r="R182" s="42"/>
      <c r="S182" s="42"/>
      <c r="T182" s="42"/>
      <c r="U182" s="42"/>
      <c r="V182" s="42"/>
      <c r="W182" s="42"/>
      <c r="X182" s="42"/>
      <c r="Y182" s="42"/>
      <c r="Z182" s="42"/>
    </row>
    <row r="183" customFormat="false" ht="13.5" hidden="false" customHeight="true" outlineLevel="0" collapsed="false">
      <c r="A183" s="39"/>
      <c r="B183" s="5"/>
      <c r="C183" s="5"/>
      <c r="D183" s="7"/>
      <c r="E183" s="7"/>
      <c r="F183" s="7"/>
      <c r="G183" s="7"/>
      <c r="H183" s="5"/>
      <c r="I183" s="5"/>
      <c r="J183" s="5"/>
      <c r="K183" s="5"/>
      <c r="L183" s="5"/>
      <c r="M183" s="5"/>
      <c r="N183" s="5"/>
      <c r="O183" s="5"/>
      <c r="P183" s="5"/>
      <c r="Q183" s="5"/>
      <c r="R183" s="5"/>
      <c r="S183" s="5"/>
      <c r="T183" s="5"/>
      <c r="U183" s="5"/>
      <c r="V183" s="5"/>
      <c r="W183" s="5"/>
      <c r="X183" s="5"/>
      <c r="Y183" s="5"/>
      <c r="Z183" s="5"/>
    </row>
    <row r="184" customFormat="false" ht="13.5" hidden="false" customHeight="true" outlineLevel="0" collapsed="false">
      <c r="A184" s="39"/>
      <c r="B184" s="5"/>
      <c r="C184" s="5"/>
      <c r="D184" s="7"/>
      <c r="E184" s="7"/>
      <c r="F184" s="7"/>
      <c r="G184" s="7"/>
      <c r="H184" s="5"/>
      <c r="I184" s="5"/>
      <c r="J184" s="5"/>
      <c r="K184" s="5"/>
      <c r="L184" s="5"/>
      <c r="M184" s="5"/>
      <c r="N184" s="5"/>
      <c r="O184" s="5"/>
      <c r="P184" s="5"/>
      <c r="Q184" s="5"/>
      <c r="R184" s="5"/>
      <c r="S184" s="5"/>
      <c r="T184" s="5"/>
      <c r="U184" s="5"/>
      <c r="V184" s="5"/>
      <c r="W184" s="5"/>
      <c r="X184" s="5"/>
      <c r="Y184" s="5"/>
      <c r="Z184" s="5"/>
    </row>
    <row r="185" customFormat="false" ht="13.5" hidden="false" customHeight="true" outlineLevel="0" collapsed="false">
      <c r="A185" s="39"/>
      <c r="B185" s="5"/>
      <c r="C185" s="5"/>
      <c r="D185" s="7"/>
      <c r="E185" s="7"/>
      <c r="F185" s="7"/>
      <c r="G185" s="7"/>
      <c r="H185" s="5"/>
      <c r="I185" s="5"/>
      <c r="J185" s="5"/>
      <c r="K185" s="5"/>
      <c r="L185" s="5"/>
      <c r="M185" s="5"/>
      <c r="N185" s="5"/>
      <c r="O185" s="5"/>
      <c r="P185" s="5"/>
      <c r="Q185" s="5"/>
      <c r="R185" s="5"/>
      <c r="S185" s="5"/>
      <c r="T185" s="5"/>
      <c r="U185" s="5"/>
      <c r="V185" s="5"/>
      <c r="W185" s="5"/>
      <c r="X185" s="5"/>
      <c r="Y185" s="5"/>
      <c r="Z185" s="5"/>
    </row>
    <row r="186" customFormat="false" ht="13.5" hidden="false" customHeight="true" outlineLevel="0" collapsed="false">
      <c r="A186" s="39"/>
      <c r="B186" s="5"/>
      <c r="C186" s="5"/>
      <c r="D186" s="7"/>
      <c r="E186" s="7"/>
      <c r="F186" s="7"/>
      <c r="G186" s="7"/>
      <c r="H186" s="5"/>
      <c r="I186" s="5"/>
      <c r="J186" s="5"/>
      <c r="K186" s="5"/>
      <c r="L186" s="5"/>
      <c r="M186" s="5"/>
      <c r="N186" s="5"/>
      <c r="O186" s="5"/>
      <c r="P186" s="5"/>
      <c r="Q186" s="5"/>
      <c r="R186" s="5"/>
      <c r="S186" s="5"/>
      <c r="T186" s="5"/>
      <c r="U186" s="5"/>
      <c r="V186" s="5"/>
      <c r="W186" s="5"/>
      <c r="X186" s="5"/>
      <c r="Y186" s="5"/>
      <c r="Z186" s="5"/>
    </row>
    <row r="187" customFormat="false" ht="13.5" hidden="false" customHeight="true" outlineLevel="0" collapsed="false">
      <c r="A187" s="39"/>
      <c r="B187" s="5"/>
      <c r="C187" s="5"/>
      <c r="D187" s="7"/>
      <c r="E187" s="7"/>
      <c r="F187" s="7"/>
      <c r="G187" s="7"/>
      <c r="H187" s="5"/>
      <c r="I187" s="5"/>
      <c r="J187" s="5"/>
      <c r="K187" s="5"/>
      <c r="L187" s="5"/>
      <c r="M187" s="5"/>
      <c r="N187" s="5"/>
      <c r="O187" s="5"/>
      <c r="P187" s="5"/>
      <c r="Q187" s="5"/>
      <c r="R187" s="5"/>
      <c r="S187" s="5"/>
      <c r="T187" s="5"/>
      <c r="U187" s="5"/>
      <c r="V187" s="5"/>
      <c r="W187" s="5"/>
      <c r="X187" s="5"/>
      <c r="Y187" s="5"/>
      <c r="Z187" s="5"/>
    </row>
    <row r="188" customFormat="false" ht="13.5" hidden="false" customHeight="true" outlineLevel="0" collapsed="false">
      <c r="A188" s="39"/>
      <c r="B188" s="5"/>
      <c r="C188" s="5"/>
      <c r="D188" s="7"/>
      <c r="E188" s="7"/>
      <c r="F188" s="7"/>
      <c r="G188" s="7"/>
      <c r="H188" s="5"/>
      <c r="I188" s="5"/>
      <c r="J188" s="5"/>
      <c r="K188" s="5"/>
      <c r="L188" s="5"/>
      <c r="M188" s="5"/>
      <c r="N188" s="5"/>
      <c r="O188" s="5"/>
      <c r="P188" s="5"/>
      <c r="Q188" s="5"/>
      <c r="R188" s="5"/>
      <c r="S188" s="5"/>
      <c r="T188" s="5"/>
      <c r="U188" s="5"/>
      <c r="V188" s="5"/>
      <c r="W188" s="5"/>
      <c r="X188" s="5"/>
      <c r="Y188" s="5"/>
      <c r="Z188" s="5"/>
    </row>
    <row r="189" customFormat="false" ht="13.5" hidden="false" customHeight="true" outlineLevel="0" collapsed="false">
      <c r="A189" s="39"/>
      <c r="B189" s="5"/>
      <c r="C189" s="5"/>
      <c r="D189" s="7"/>
      <c r="E189" s="7"/>
      <c r="F189" s="7"/>
      <c r="G189" s="7"/>
      <c r="H189" s="5"/>
      <c r="I189" s="5"/>
      <c r="J189" s="5"/>
      <c r="K189" s="5"/>
      <c r="L189" s="5"/>
      <c r="M189" s="5"/>
      <c r="N189" s="5"/>
      <c r="O189" s="5"/>
      <c r="P189" s="5"/>
      <c r="Q189" s="5"/>
      <c r="R189" s="5"/>
      <c r="S189" s="5"/>
      <c r="T189" s="5"/>
      <c r="U189" s="5"/>
      <c r="V189" s="5"/>
      <c r="W189" s="5"/>
      <c r="X189" s="5"/>
      <c r="Y189" s="5"/>
      <c r="Z189" s="5"/>
    </row>
    <row r="190" customFormat="false" ht="13.5" hidden="false" customHeight="true" outlineLevel="0" collapsed="false">
      <c r="A190" s="39"/>
      <c r="B190" s="5"/>
      <c r="C190" s="5"/>
      <c r="D190" s="7"/>
      <c r="E190" s="7"/>
      <c r="F190" s="7"/>
      <c r="G190" s="7"/>
      <c r="H190" s="5"/>
      <c r="I190" s="5"/>
      <c r="J190" s="5"/>
      <c r="K190" s="5"/>
      <c r="L190" s="5"/>
      <c r="M190" s="5"/>
      <c r="N190" s="5"/>
      <c r="O190" s="5"/>
      <c r="P190" s="5"/>
      <c r="Q190" s="5"/>
      <c r="R190" s="5"/>
      <c r="S190" s="5"/>
      <c r="T190" s="5"/>
      <c r="U190" s="5"/>
      <c r="V190" s="5"/>
      <c r="W190" s="5"/>
      <c r="X190" s="5"/>
      <c r="Y190" s="5"/>
      <c r="Z190" s="5"/>
    </row>
    <row r="191" customFormat="false" ht="13.5" hidden="false" customHeight="true" outlineLevel="0" collapsed="false">
      <c r="A191" s="39"/>
      <c r="B191" s="5"/>
      <c r="C191" s="5"/>
      <c r="D191" s="7"/>
      <c r="E191" s="7"/>
      <c r="F191" s="7"/>
      <c r="G191" s="7"/>
      <c r="H191" s="5"/>
      <c r="I191" s="5"/>
      <c r="J191" s="5"/>
      <c r="K191" s="5"/>
      <c r="L191" s="5"/>
      <c r="M191" s="5"/>
      <c r="N191" s="5"/>
      <c r="O191" s="5"/>
      <c r="P191" s="5"/>
      <c r="Q191" s="5"/>
      <c r="R191" s="5"/>
      <c r="S191" s="5"/>
      <c r="T191" s="5"/>
      <c r="U191" s="5"/>
      <c r="V191" s="5"/>
      <c r="W191" s="5"/>
      <c r="X191" s="5"/>
      <c r="Y191" s="5"/>
      <c r="Z191" s="5"/>
    </row>
    <row r="192" customFormat="false" ht="13.5" hidden="false" customHeight="true" outlineLevel="0" collapsed="false">
      <c r="A192" s="39"/>
      <c r="B192" s="5"/>
      <c r="C192" s="5"/>
      <c r="D192" s="7"/>
      <c r="E192" s="7"/>
      <c r="F192" s="7"/>
      <c r="G192" s="7"/>
      <c r="H192" s="5"/>
      <c r="I192" s="5"/>
      <c r="J192" s="5"/>
      <c r="K192" s="5"/>
      <c r="L192" s="5"/>
      <c r="M192" s="5"/>
      <c r="N192" s="5"/>
      <c r="O192" s="5"/>
      <c r="P192" s="5"/>
      <c r="Q192" s="5"/>
      <c r="R192" s="5"/>
      <c r="S192" s="5"/>
      <c r="T192" s="5"/>
      <c r="U192" s="5"/>
      <c r="V192" s="5"/>
      <c r="W192" s="5"/>
      <c r="X192" s="5"/>
      <c r="Y192" s="5"/>
      <c r="Z192" s="5"/>
    </row>
    <row r="193" customFormat="false" ht="13.5" hidden="false" customHeight="true" outlineLevel="0" collapsed="false">
      <c r="A193" s="39"/>
      <c r="B193" s="5"/>
      <c r="C193" s="5"/>
      <c r="D193" s="7"/>
      <c r="E193" s="7"/>
      <c r="F193" s="7"/>
      <c r="G193" s="7"/>
      <c r="H193" s="5"/>
      <c r="I193" s="5"/>
      <c r="J193" s="5"/>
      <c r="K193" s="5"/>
      <c r="L193" s="5"/>
      <c r="M193" s="5"/>
      <c r="N193" s="5"/>
      <c r="O193" s="5"/>
      <c r="P193" s="5"/>
      <c r="Q193" s="5"/>
      <c r="R193" s="5"/>
      <c r="S193" s="5"/>
      <c r="T193" s="5"/>
      <c r="U193" s="5"/>
      <c r="V193" s="5"/>
      <c r="W193" s="5"/>
      <c r="X193" s="5"/>
      <c r="Y193" s="5"/>
      <c r="Z193" s="5"/>
    </row>
    <row r="194" customFormat="false" ht="13.5" hidden="false" customHeight="true" outlineLevel="0" collapsed="false">
      <c r="A194" s="39"/>
      <c r="B194" s="5"/>
      <c r="C194" s="5"/>
      <c r="D194" s="7"/>
      <c r="E194" s="7"/>
      <c r="F194" s="7"/>
      <c r="G194" s="7"/>
      <c r="H194" s="5"/>
      <c r="I194" s="5"/>
      <c r="J194" s="5"/>
      <c r="K194" s="5"/>
      <c r="L194" s="5"/>
      <c r="M194" s="5"/>
      <c r="N194" s="5"/>
      <c r="O194" s="5"/>
      <c r="P194" s="5"/>
      <c r="Q194" s="5"/>
      <c r="R194" s="5"/>
      <c r="S194" s="5"/>
      <c r="T194" s="5"/>
      <c r="U194" s="5"/>
      <c r="V194" s="5"/>
      <c r="W194" s="5"/>
      <c r="X194" s="5"/>
      <c r="Y194" s="5"/>
      <c r="Z194" s="5"/>
    </row>
    <row r="195" customFormat="false" ht="13.5" hidden="false" customHeight="true" outlineLevel="0" collapsed="false">
      <c r="A195" s="39"/>
      <c r="B195" s="5"/>
      <c r="C195" s="5"/>
      <c r="D195" s="7"/>
      <c r="E195" s="7"/>
      <c r="F195" s="7"/>
      <c r="G195" s="7"/>
      <c r="H195" s="5"/>
      <c r="I195" s="5"/>
      <c r="J195" s="5"/>
      <c r="K195" s="5"/>
      <c r="L195" s="5"/>
      <c r="M195" s="5"/>
      <c r="N195" s="5"/>
      <c r="O195" s="5"/>
      <c r="P195" s="5"/>
      <c r="Q195" s="5"/>
      <c r="R195" s="5"/>
      <c r="S195" s="5"/>
      <c r="T195" s="5"/>
      <c r="U195" s="5"/>
      <c r="V195" s="5"/>
      <c r="W195" s="5"/>
      <c r="X195" s="5"/>
      <c r="Y195" s="5"/>
      <c r="Z195" s="5"/>
    </row>
    <row r="196" customFormat="false" ht="13.5" hidden="false" customHeight="true" outlineLevel="0" collapsed="false">
      <c r="A196" s="39"/>
      <c r="B196" s="5"/>
      <c r="C196" s="5"/>
      <c r="D196" s="7"/>
      <c r="E196" s="7"/>
      <c r="F196" s="7"/>
      <c r="G196" s="7"/>
      <c r="H196" s="5"/>
      <c r="I196" s="5"/>
      <c r="J196" s="5"/>
      <c r="K196" s="5"/>
      <c r="L196" s="5"/>
      <c r="M196" s="5"/>
      <c r="N196" s="5"/>
      <c r="O196" s="5"/>
      <c r="P196" s="5"/>
      <c r="Q196" s="5"/>
      <c r="R196" s="5"/>
      <c r="S196" s="5"/>
      <c r="T196" s="5"/>
      <c r="U196" s="5"/>
      <c r="V196" s="5"/>
      <c r="W196" s="5"/>
      <c r="X196" s="5"/>
      <c r="Y196" s="5"/>
      <c r="Z196" s="5"/>
    </row>
    <row r="197" customFormat="false" ht="13.5" hidden="false" customHeight="true" outlineLevel="0" collapsed="false">
      <c r="A197" s="39"/>
      <c r="B197" s="5"/>
      <c r="C197" s="5"/>
      <c r="D197" s="7"/>
      <c r="E197" s="7"/>
      <c r="F197" s="7"/>
      <c r="G197" s="7"/>
      <c r="H197" s="5"/>
      <c r="I197" s="5"/>
      <c r="J197" s="5"/>
      <c r="K197" s="5"/>
      <c r="L197" s="5"/>
      <c r="M197" s="5"/>
      <c r="N197" s="5"/>
      <c r="O197" s="5"/>
      <c r="P197" s="5"/>
      <c r="Q197" s="5"/>
      <c r="R197" s="5"/>
      <c r="S197" s="5"/>
      <c r="T197" s="5"/>
      <c r="U197" s="5"/>
      <c r="V197" s="5"/>
      <c r="W197" s="5"/>
      <c r="X197" s="5"/>
      <c r="Y197" s="5"/>
      <c r="Z197" s="5"/>
    </row>
    <row r="198" customFormat="false" ht="13.5" hidden="false" customHeight="true" outlineLevel="0" collapsed="false">
      <c r="A198" s="39"/>
      <c r="B198" s="5"/>
      <c r="C198" s="5"/>
      <c r="D198" s="7"/>
      <c r="E198" s="7"/>
      <c r="F198" s="7"/>
      <c r="G198" s="7"/>
      <c r="H198" s="5"/>
      <c r="I198" s="5"/>
      <c r="J198" s="5"/>
      <c r="K198" s="5"/>
      <c r="L198" s="5"/>
      <c r="M198" s="5"/>
      <c r="N198" s="5"/>
      <c r="O198" s="5"/>
      <c r="P198" s="5"/>
      <c r="Q198" s="5"/>
      <c r="R198" s="5"/>
      <c r="S198" s="5"/>
      <c r="T198" s="5"/>
      <c r="U198" s="5"/>
      <c r="V198" s="5"/>
      <c r="W198" s="5"/>
      <c r="X198" s="5"/>
      <c r="Y198" s="5"/>
      <c r="Z198" s="5"/>
    </row>
    <row r="199" customFormat="false" ht="13.5" hidden="false" customHeight="true" outlineLevel="0" collapsed="false">
      <c r="A199" s="39"/>
      <c r="B199" s="5"/>
      <c r="C199" s="5"/>
      <c r="D199" s="7"/>
      <c r="E199" s="7"/>
      <c r="F199" s="7"/>
      <c r="G199" s="7"/>
      <c r="H199" s="5"/>
      <c r="I199" s="5"/>
      <c r="J199" s="5"/>
      <c r="K199" s="5"/>
      <c r="L199" s="5"/>
      <c r="M199" s="5"/>
      <c r="N199" s="5"/>
      <c r="O199" s="5"/>
      <c r="P199" s="5"/>
      <c r="Q199" s="5"/>
      <c r="R199" s="5"/>
      <c r="S199" s="5"/>
      <c r="T199" s="5"/>
      <c r="U199" s="5"/>
      <c r="V199" s="5"/>
      <c r="W199" s="5"/>
      <c r="X199" s="5"/>
      <c r="Y199" s="5"/>
      <c r="Z199" s="5"/>
    </row>
    <row r="200" customFormat="false" ht="13.5" hidden="false" customHeight="true" outlineLevel="0" collapsed="false">
      <c r="A200" s="39"/>
      <c r="B200" s="5"/>
      <c r="C200" s="5"/>
      <c r="D200" s="7"/>
      <c r="E200" s="7"/>
      <c r="F200" s="7"/>
      <c r="G200" s="7"/>
      <c r="H200" s="5"/>
      <c r="I200" s="5"/>
      <c r="J200" s="5"/>
      <c r="K200" s="5"/>
      <c r="L200" s="5"/>
      <c r="M200" s="5"/>
      <c r="N200" s="5"/>
      <c r="O200" s="5"/>
      <c r="P200" s="5"/>
      <c r="Q200" s="5"/>
      <c r="R200" s="5"/>
      <c r="S200" s="5"/>
      <c r="T200" s="5"/>
      <c r="U200" s="5"/>
      <c r="V200" s="5"/>
      <c r="W200" s="5"/>
      <c r="X200" s="5"/>
      <c r="Y200" s="5"/>
      <c r="Z200" s="5"/>
    </row>
    <row r="201" customFormat="false" ht="13.5" hidden="false" customHeight="true" outlineLevel="0" collapsed="false">
      <c r="A201" s="39"/>
      <c r="B201" s="5"/>
      <c r="C201" s="5"/>
      <c r="D201" s="7"/>
      <c r="E201" s="7"/>
      <c r="F201" s="7"/>
      <c r="G201" s="7"/>
      <c r="H201" s="5"/>
      <c r="I201" s="5"/>
      <c r="J201" s="5"/>
      <c r="K201" s="5"/>
      <c r="L201" s="5"/>
      <c r="M201" s="5"/>
      <c r="N201" s="5"/>
      <c r="O201" s="5"/>
      <c r="P201" s="5"/>
      <c r="Q201" s="5"/>
      <c r="R201" s="5"/>
      <c r="S201" s="5"/>
      <c r="T201" s="5"/>
      <c r="U201" s="5"/>
      <c r="V201" s="5"/>
      <c r="W201" s="5"/>
      <c r="X201" s="5"/>
      <c r="Y201" s="5"/>
      <c r="Z201" s="5"/>
    </row>
    <row r="202" customFormat="false" ht="13.5" hidden="false" customHeight="true" outlineLevel="0" collapsed="false">
      <c r="A202" s="39"/>
      <c r="B202" s="5"/>
      <c r="C202" s="5"/>
      <c r="D202" s="7"/>
      <c r="E202" s="7"/>
      <c r="F202" s="7"/>
      <c r="G202" s="7"/>
      <c r="H202" s="5"/>
      <c r="I202" s="5"/>
      <c r="J202" s="5"/>
      <c r="K202" s="5"/>
      <c r="L202" s="5"/>
      <c r="M202" s="5"/>
      <c r="N202" s="5"/>
      <c r="O202" s="5"/>
      <c r="P202" s="5"/>
      <c r="Q202" s="5"/>
      <c r="R202" s="5"/>
      <c r="S202" s="5"/>
      <c r="T202" s="5"/>
      <c r="U202" s="5"/>
      <c r="V202" s="5"/>
      <c r="W202" s="5"/>
      <c r="X202" s="5"/>
      <c r="Y202" s="5"/>
      <c r="Z202" s="5"/>
    </row>
    <row r="203" customFormat="false" ht="13.5" hidden="false" customHeight="true" outlineLevel="0" collapsed="false">
      <c r="A203" s="39"/>
      <c r="B203" s="5"/>
      <c r="C203" s="5"/>
      <c r="D203" s="7"/>
      <c r="E203" s="7"/>
      <c r="F203" s="7"/>
      <c r="G203" s="7"/>
      <c r="H203" s="5"/>
      <c r="I203" s="5"/>
      <c r="J203" s="5"/>
      <c r="K203" s="5"/>
      <c r="L203" s="5"/>
      <c r="M203" s="5"/>
      <c r="N203" s="5"/>
      <c r="O203" s="5"/>
      <c r="P203" s="5"/>
      <c r="Q203" s="5"/>
      <c r="R203" s="5"/>
      <c r="S203" s="5"/>
      <c r="T203" s="5"/>
      <c r="U203" s="5"/>
      <c r="V203" s="5"/>
      <c r="W203" s="5"/>
      <c r="X203" s="5"/>
      <c r="Y203" s="5"/>
      <c r="Z203" s="5"/>
    </row>
    <row r="204" customFormat="false" ht="13.5" hidden="false" customHeight="true" outlineLevel="0" collapsed="false">
      <c r="A204" s="39"/>
      <c r="B204" s="5"/>
      <c r="C204" s="5"/>
      <c r="D204" s="7"/>
      <c r="E204" s="7"/>
      <c r="F204" s="7"/>
      <c r="G204" s="7"/>
      <c r="H204" s="5"/>
      <c r="I204" s="5"/>
      <c r="J204" s="5"/>
      <c r="K204" s="5"/>
      <c r="L204" s="5"/>
      <c r="M204" s="5"/>
      <c r="N204" s="5"/>
      <c r="O204" s="5"/>
      <c r="P204" s="5"/>
      <c r="Q204" s="5"/>
      <c r="R204" s="5"/>
      <c r="S204" s="5"/>
      <c r="T204" s="5"/>
      <c r="U204" s="5"/>
      <c r="V204" s="5"/>
      <c r="W204" s="5"/>
      <c r="X204" s="5"/>
      <c r="Y204" s="5"/>
      <c r="Z204" s="5"/>
    </row>
    <row r="205" customFormat="false" ht="13.5" hidden="false" customHeight="true" outlineLevel="0" collapsed="false">
      <c r="A205" s="39"/>
      <c r="B205" s="5"/>
      <c r="C205" s="5"/>
      <c r="D205" s="7"/>
      <c r="E205" s="7"/>
      <c r="F205" s="7"/>
      <c r="G205" s="7"/>
      <c r="H205" s="5"/>
      <c r="I205" s="5"/>
      <c r="J205" s="5"/>
      <c r="K205" s="5"/>
      <c r="L205" s="5"/>
      <c r="M205" s="5"/>
      <c r="N205" s="5"/>
      <c r="O205" s="5"/>
      <c r="P205" s="5"/>
      <c r="Q205" s="5"/>
      <c r="R205" s="5"/>
      <c r="S205" s="5"/>
      <c r="T205" s="5"/>
      <c r="U205" s="5"/>
      <c r="V205" s="5"/>
      <c r="W205" s="5"/>
      <c r="X205" s="5"/>
      <c r="Y205" s="5"/>
      <c r="Z205" s="5"/>
    </row>
    <row r="206" customFormat="false" ht="13.5" hidden="false" customHeight="true" outlineLevel="0" collapsed="false">
      <c r="A206" s="39"/>
      <c r="B206" s="5"/>
      <c r="C206" s="5"/>
      <c r="D206" s="7"/>
      <c r="E206" s="7"/>
      <c r="F206" s="7"/>
      <c r="G206" s="7"/>
      <c r="H206" s="5"/>
      <c r="I206" s="5"/>
      <c r="J206" s="5"/>
      <c r="K206" s="5"/>
      <c r="L206" s="5"/>
      <c r="M206" s="5"/>
      <c r="N206" s="5"/>
      <c r="O206" s="5"/>
      <c r="P206" s="5"/>
      <c r="Q206" s="5"/>
      <c r="R206" s="5"/>
      <c r="S206" s="5"/>
      <c r="T206" s="5"/>
      <c r="U206" s="5"/>
      <c r="V206" s="5"/>
      <c r="W206" s="5"/>
      <c r="X206" s="5"/>
      <c r="Y206" s="5"/>
      <c r="Z206" s="5"/>
    </row>
    <row r="207" customFormat="false" ht="13.5" hidden="false" customHeight="true" outlineLevel="0" collapsed="false">
      <c r="A207" s="39"/>
      <c r="B207" s="5"/>
      <c r="C207" s="5"/>
      <c r="D207" s="7"/>
      <c r="E207" s="7"/>
      <c r="F207" s="7"/>
      <c r="G207" s="7"/>
      <c r="H207" s="5"/>
      <c r="I207" s="5"/>
      <c r="J207" s="5"/>
      <c r="K207" s="5"/>
      <c r="L207" s="5"/>
      <c r="M207" s="5"/>
      <c r="N207" s="5"/>
      <c r="O207" s="5"/>
      <c r="P207" s="5"/>
      <c r="Q207" s="5"/>
      <c r="R207" s="5"/>
      <c r="S207" s="5"/>
      <c r="T207" s="5"/>
      <c r="U207" s="5"/>
      <c r="V207" s="5"/>
      <c r="W207" s="5"/>
      <c r="X207" s="5"/>
      <c r="Y207" s="5"/>
      <c r="Z207" s="5"/>
    </row>
    <row r="208" customFormat="false" ht="13.5" hidden="false" customHeight="true" outlineLevel="0" collapsed="false">
      <c r="A208" s="39"/>
      <c r="B208" s="5"/>
      <c r="C208" s="5"/>
      <c r="D208" s="7"/>
      <c r="E208" s="7"/>
      <c r="F208" s="7"/>
      <c r="G208" s="7"/>
      <c r="H208" s="5"/>
      <c r="I208" s="5"/>
      <c r="J208" s="5"/>
      <c r="K208" s="5"/>
      <c r="L208" s="5"/>
      <c r="M208" s="5"/>
      <c r="N208" s="5"/>
      <c r="O208" s="5"/>
      <c r="P208" s="5"/>
      <c r="Q208" s="5"/>
      <c r="R208" s="5"/>
      <c r="S208" s="5"/>
      <c r="T208" s="5"/>
      <c r="U208" s="5"/>
      <c r="V208" s="5"/>
      <c r="W208" s="5"/>
      <c r="X208" s="5"/>
      <c r="Y208" s="5"/>
      <c r="Z208" s="5"/>
    </row>
    <row r="209" customFormat="false" ht="13.5" hidden="false" customHeight="true" outlineLevel="0" collapsed="false">
      <c r="A209" s="39"/>
      <c r="B209" s="5"/>
      <c r="C209" s="5"/>
      <c r="D209" s="7"/>
      <c r="E209" s="7"/>
      <c r="F209" s="7"/>
      <c r="G209" s="7"/>
      <c r="H209" s="5"/>
      <c r="I209" s="5"/>
      <c r="J209" s="5"/>
      <c r="K209" s="5"/>
      <c r="L209" s="5"/>
      <c r="M209" s="5"/>
      <c r="N209" s="5"/>
      <c r="O209" s="5"/>
      <c r="P209" s="5"/>
      <c r="Q209" s="5"/>
      <c r="R209" s="5"/>
      <c r="S209" s="5"/>
      <c r="T209" s="5"/>
      <c r="U209" s="5"/>
      <c r="V209" s="5"/>
      <c r="W209" s="5"/>
      <c r="X209" s="5"/>
      <c r="Y209" s="5"/>
      <c r="Z209" s="5"/>
    </row>
    <row r="210" customFormat="false" ht="13.5" hidden="false" customHeight="true" outlineLevel="0" collapsed="false">
      <c r="A210" s="39"/>
      <c r="B210" s="5"/>
      <c r="C210" s="5"/>
      <c r="D210" s="7"/>
      <c r="E210" s="7"/>
      <c r="F210" s="7"/>
      <c r="G210" s="7"/>
      <c r="H210" s="5"/>
      <c r="I210" s="5"/>
      <c r="J210" s="5"/>
      <c r="K210" s="5"/>
      <c r="L210" s="5"/>
      <c r="M210" s="5"/>
      <c r="N210" s="5"/>
      <c r="O210" s="5"/>
      <c r="P210" s="5"/>
      <c r="Q210" s="5"/>
      <c r="R210" s="5"/>
      <c r="S210" s="5"/>
      <c r="T210" s="5"/>
      <c r="U210" s="5"/>
      <c r="V210" s="5"/>
      <c r="W210" s="5"/>
      <c r="X210" s="5"/>
      <c r="Y210" s="5"/>
      <c r="Z210" s="5"/>
    </row>
    <row r="211" customFormat="false" ht="13.5" hidden="false" customHeight="true" outlineLevel="0" collapsed="false">
      <c r="A211" s="39"/>
      <c r="B211" s="5"/>
      <c r="C211" s="5"/>
      <c r="D211" s="7"/>
      <c r="E211" s="7"/>
      <c r="F211" s="7"/>
      <c r="G211" s="7"/>
      <c r="H211" s="5"/>
      <c r="I211" s="5"/>
      <c r="J211" s="5"/>
      <c r="K211" s="5"/>
      <c r="L211" s="5"/>
      <c r="M211" s="5"/>
      <c r="N211" s="5"/>
      <c r="O211" s="5"/>
      <c r="P211" s="5"/>
      <c r="Q211" s="5"/>
      <c r="R211" s="5"/>
      <c r="S211" s="5"/>
      <c r="T211" s="5"/>
      <c r="U211" s="5"/>
      <c r="V211" s="5"/>
      <c r="W211" s="5"/>
      <c r="X211" s="5"/>
      <c r="Y211" s="5"/>
      <c r="Z211" s="5"/>
    </row>
    <row r="212" customFormat="false" ht="13.5" hidden="false" customHeight="true" outlineLevel="0" collapsed="false">
      <c r="A212" s="39"/>
      <c r="B212" s="5"/>
      <c r="C212" s="5"/>
      <c r="D212" s="7"/>
      <c r="E212" s="7"/>
      <c r="F212" s="7"/>
      <c r="G212" s="7"/>
      <c r="H212" s="5"/>
      <c r="I212" s="5"/>
      <c r="J212" s="5"/>
      <c r="K212" s="5"/>
      <c r="L212" s="5"/>
      <c r="M212" s="5"/>
      <c r="N212" s="5"/>
      <c r="O212" s="5"/>
      <c r="P212" s="5"/>
      <c r="Q212" s="5"/>
      <c r="R212" s="5"/>
      <c r="S212" s="5"/>
      <c r="T212" s="5"/>
      <c r="U212" s="5"/>
      <c r="V212" s="5"/>
      <c r="W212" s="5"/>
      <c r="X212" s="5"/>
      <c r="Y212" s="5"/>
      <c r="Z212" s="5"/>
    </row>
    <row r="213" customFormat="false" ht="13.5" hidden="false" customHeight="true" outlineLevel="0" collapsed="false">
      <c r="A213" s="39"/>
      <c r="B213" s="5"/>
      <c r="C213" s="5"/>
      <c r="D213" s="7"/>
      <c r="E213" s="7"/>
      <c r="F213" s="7"/>
      <c r="G213" s="7"/>
      <c r="H213" s="5"/>
      <c r="I213" s="5"/>
      <c r="J213" s="5"/>
      <c r="K213" s="5"/>
      <c r="L213" s="5"/>
      <c r="M213" s="5"/>
      <c r="N213" s="5"/>
      <c r="O213" s="5"/>
      <c r="P213" s="5"/>
      <c r="Q213" s="5"/>
      <c r="R213" s="5"/>
      <c r="S213" s="5"/>
      <c r="T213" s="5"/>
      <c r="U213" s="5"/>
      <c r="V213" s="5"/>
      <c r="W213" s="5"/>
      <c r="X213" s="5"/>
      <c r="Y213" s="5"/>
      <c r="Z213" s="5"/>
    </row>
    <row r="214" customFormat="false" ht="13.5" hidden="false" customHeight="true" outlineLevel="0" collapsed="false">
      <c r="A214" s="39"/>
      <c r="B214" s="5"/>
      <c r="C214" s="5"/>
      <c r="D214" s="7"/>
      <c r="E214" s="7"/>
      <c r="F214" s="7"/>
      <c r="G214" s="7"/>
      <c r="H214" s="5"/>
      <c r="I214" s="5"/>
      <c r="J214" s="5"/>
      <c r="K214" s="5"/>
      <c r="L214" s="5"/>
      <c r="M214" s="5"/>
      <c r="N214" s="5"/>
      <c r="O214" s="5"/>
      <c r="P214" s="5"/>
      <c r="Q214" s="5"/>
      <c r="R214" s="5"/>
      <c r="S214" s="5"/>
      <c r="T214" s="5"/>
      <c r="U214" s="5"/>
      <c r="V214" s="5"/>
      <c r="W214" s="5"/>
      <c r="X214" s="5"/>
      <c r="Y214" s="5"/>
      <c r="Z214" s="5"/>
    </row>
    <row r="215" customFormat="false" ht="13.5" hidden="false" customHeight="true" outlineLevel="0" collapsed="false">
      <c r="A215" s="39"/>
      <c r="B215" s="5"/>
      <c r="C215" s="5"/>
      <c r="D215" s="7"/>
      <c r="E215" s="7"/>
      <c r="F215" s="7"/>
      <c r="G215" s="7"/>
      <c r="H215" s="5"/>
      <c r="I215" s="5"/>
      <c r="J215" s="5"/>
      <c r="K215" s="5"/>
      <c r="L215" s="5"/>
      <c r="M215" s="5"/>
      <c r="N215" s="5"/>
      <c r="O215" s="5"/>
      <c r="P215" s="5"/>
      <c r="Q215" s="5"/>
      <c r="R215" s="5"/>
      <c r="S215" s="5"/>
      <c r="T215" s="5"/>
      <c r="U215" s="5"/>
      <c r="V215" s="5"/>
      <c r="W215" s="5"/>
      <c r="X215" s="5"/>
      <c r="Y215" s="5"/>
      <c r="Z215" s="5"/>
    </row>
    <row r="216" customFormat="false" ht="13.5" hidden="false" customHeight="true" outlineLevel="0" collapsed="false">
      <c r="A216" s="39"/>
      <c r="B216" s="5"/>
      <c r="C216" s="5"/>
      <c r="D216" s="7"/>
      <c r="E216" s="7"/>
      <c r="F216" s="7"/>
      <c r="G216" s="7"/>
      <c r="H216" s="5"/>
      <c r="I216" s="5"/>
      <c r="J216" s="5"/>
      <c r="K216" s="5"/>
      <c r="L216" s="5"/>
      <c r="M216" s="5"/>
      <c r="N216" s="5"/>
      <c r="O216" s="5"/>
      <c r="P216" s="5"/>
      <c r="Q216" s="5"/>
      <c r="R216" s="5"/>
      <c r="S216" s="5"/>
      <c r="T216" s="5"/>
      <c r="U216" s="5"/>
      <c r="V216" s="5"/>
      <c r="W216" s="5"/>
      <c r="X216" s="5"/>
      <c r="Y216" s="5"/>
      <c r="Z216" s="5"/>
    </row>
    <row r="217" customFormat="false" ht="13.5" hidden="false" customHeight="true" outlineLevel="0" collapsed="false">
      <c r="A217" s="39"/>
      <c r="B217" s="5"/>
      <c r="C217" s="5"/>
      <c r="D217" s="7"/>
      <c r="E217" s="7"/>
      <c r="F217" s="7"/>
      <c r="G217" s="7"/>
      <c r="H217" s="5"/>
      <c r="I217" s="5"/>
      <c r="J217" s="5"/>
      <c r="K217" s="5"/>
      <c r="L217" s="5"/>
      <c r="M217" s="5"/>
      <c r="N217" s="5"/>
      <c r="O217" s="5"/>
      <c r="P217" s="5"/>
      <c r="Q217" s="5"/>
      <c r="R217" s="5"/>
      <c r="S217" s="5"/>
      <c r="T217" s="5"/>
      <c r="U217" s="5"/>
      <c r="V217" s="5"/>
      <c r="W217" s="5"/>
      <c r="X217" s="5"/>
      <c r="Y217" s="5"/>
      <c r="Z217" s="5"/>
    </row>
    <row r="218" customFormat="false" ht="13.5" hidden="false" customHeight="true" outlineLevel="0" collapsed="false">
      <c r="A218" s="39"/>
      <c r="B218" s="5"/>
      <c r="C218" s="5"/>
      <c r="D218" s="7"/>
      <c r="E218" s="7"/>
      <c r="F218" s="7"/>
      <c r="G218" s="7"/>
      <c r="H218" s="5"/>
      <c r="I218" s="5"/>
      <c r="J218" s="5"/>
      <c r="K218" s="5"/>
      <c r="L218" s="5"/>
      <c r="M218" s="5"/>
      <c r="N218" s="5"/>
      <c r="O218" s="5"/>
      <c r="P218" s="5"/>
      <c r="Q218" s="5"/>
      <c r="R218" s="5"/>
      <c r="S218" s="5"/>
      <c r="T218" s="5"/>
      <c r="U218" s="5"/>
      <c r="V218" s="5"/>
      <c r="W218" s="5"/>
      <c r="X218" s="5"/>
      <c r="Y218" s="5"/>
      <c r="Z218" s="5"/>
    </row>
    <row r="219" customFormat="false" ht="13.5" hidden="false" customHeight="true" outlineLevel="0" collapsed="false">
      <c r="A219" s="39"/>
      <c r="B219" s="5"/>
      <c r="C219" s="5"/>
      <c r="D219" s="7"/>
      <c r="E219" s="7"/>
      <c r="F219" s="7"/>
      <c r="G219" s="7"/>
      <c r="H219" s="5"/>
      <c r="I219" s="5"/>
      <c r="J219" s="5"/>
      <c r="K219" s="5"/>
      <c r="L219" s="5"/>
      <c r="M219" s="5"/>
      <c r="N219" s="5"/>
      <c r="O219" s="5"/>
      <c r="P219" s="5"/>
      <c r="Q219" s="5"/>
      <c r="R219" s="5"/>
      <c r="S219" s="5"/>
      <c r="T219" s="5"/>
      <c r="U219" s="5"/>
      <c r="V219" s="5"/>
      <c r="W219" s="5"/>
      <c r="X219" s="5"/>
      <c r="Y219" s="5"/>
      <c r="Z219" s="5"/>
    </row>
    <row r="220" customFormat="false" ht="13.5" hidden="false" customHeight="true" outlineLevel="0" collapsed="false">
      <c r="A220" s="39"/>
      <c r="B220" s="5"/>
      <c r="C220" s="5"/>
      <c r="D220" s="7"/>
      <c r="E220" s="7"/>
      <c r="F220" s="7"/>
      <c r="G220" s="7"/>
      <c r="H220" s="5"/>
      <c r="I220" s="5"/>
      <c r="J220" s="5"/>
      <c r="K220" s="5"/>
      <c r="L220" s="5"/>
      <c r="M220" s="5"/>
      <c r="N220" s="5"/>
      <c r="O220" s="5"/>
      <c r="P220" s="5"/>
      <c r="Q220" s="5"/>
      <c r="R220" s="5"/>
      <c r="S220" s="5"/>
      <c r="T220" s="5"/>
      <c r="U220" s="5"/>
      <c r="V220" s="5"/>
      <c r="W220" s="5"/>
      <c r="X220" s="5"/>
      <c r="Y220" s="5"/>
      <c r="Z220" s="5"/>
    </row>
    <row r="221" customFormat="false" ht="13.5" hidden="false" customHeight="true" outlineLevel="0" collapsed="false">
      <c r="A221" s="39"/>
      <c r="B221" s="5"/>
      <c r="C221" s="5"/>
      <c r="D221" s="7"/>
      <c r="E221" s="7"/>
      <c r="F221" s="7"/>
      <c r="G221" s="7"/>
      <c r="H221" s="5"/>
      <c r="I221" s="5"/>
      <c r="J221" s="5"/>
      <c r="K221" s="5"/>
      <c r="L221" s="5"/>
      <c r="M221" s="5"/>
      <c r="N221" s="5"/>
      <c r="O221" s="5"/>
      <c r="P221" s="5"/>
      <c r="Q221" s="5"/>
      <c r="R221" s="5"/>
      <c r="S221" s="5"/>
      <c r="T221" s="5"/>
      <c r="U221" s="5"/>
      <c r="V221" s="5"/>
      <c r="W221" s="5"/>
      <c r="X221" s="5"/>
      <c r="Y221" s="5"/>
      <c r="Z221" s="5"/>
    </row>
    <row r="222" customFormat="false" ht="13.5" hidden="false" customHeight="true" outlineLevel="0" collapsed="false">
      <c r="A222" s="39"/>
      <c r="B222" s="5"/>
      <c r="C222" s="5"/>
      <c r="D222" s="7"/>
      <c r="E222" s="7"/>
      <c r="F222" s="7"/>
      <c r="G222" s="7"/>
      <c r="H222" s="5"/>
      <c r="I222" s="5"/>
      <c r="J222" s="5"/>
      <c r="K222" s="5"/>
      <c r="L222" s="5"/>
      <c r="M222" s="5"/>
      <c r="N222" s="5"/>
      <c r="O222" s="5"/>
      <c r="P222" s="5"/>
      <c r="Q222" s="5"/>
      <c r="R222" s="5"/>
      <c r="S222" s="5"/>
      <c r="T222" s="5"/>
      <c r="U222" s="5"/>
      <c r="V222" s="5"/>
      <c r="W222" s="5"/>
      <c r="X222" s="5"/>
      <c r="Y222" s="5"/>
      <c r="Z222" s="5"/>
    </row>
    <row r="223" customFormat="false" ht="13.5" hidden="false" customHeight="true" outlineLevel="0" collapsed="false">
      <c r="A223" s="39"/>
      <c r="B223" s="5"/>
      <c r="C223" s="5"/>
      <c r="D223" s="7"/>
      <c r="E223" s="7"/>
      <c r="F223" s="7"/>
      <c r="G223" s="7"/>
      <c r="H223" s="5"/>
      <c r="I223" s="5"/>
      <c r="J223" s="5"/>
      <c r="K223" s="5"/>
      <c r="L223" s="5"/>
      <c r="M223" s="5"/>
      <c r="N223" s="5"/>
      <c r="O223" s="5"/>
      <c r="P223" s="5"/>
      <c r="Q223" s="5"/>
      <c r="R223" s="5"/>
      <c r="S223" s="5"/>
      <c r="T223" s="5"/>
      <c r="U223" s="5"/>
      <c r="V223" s="5"/>
      <c r="W223" s="5"/>
      <c r="X223" s="5"/>
      <c r="Y223" s="5"/>
      <c r="Z223" s="5"/>
    </row>
    <row r="224" customFormat="false" ht="13.5" hidden="false" customHeight="true" outlineLevel="0" collapsed="false">
      <c r="A224" s="39"/>
      <c r="B224" s="5"/>
      <c r="C224" s="5"/>
      <c r="D224" s="7"/>
      <c r="E224" s="7"/>
      <c r="F224" s="7"/>
      <c r="G224" s="7"/>
      <c r="H224" s="5"/>
      <c r="I224" s="5"/>
      <c r="J224" s="5"/>
      <c r="K224" s="5"/>
      <c r="L224" s="5"/>
      <c r="M224" s="5"/>
      <c r="N224" s="5"/>
      <c r="O224" s="5"/>
      <c r="P224" s="5"/>
      <c r="Q224" s="5"/>
      <c r="R224" s="5"/>
      <c r="S224" s="5"/>
      <c r="T224" s="5"/>
      <c r="U224" s="5"/>
      <c r="V224" s="5"/>
      <c r="W224" s="5"/>
      <c r="X224" s="5"/>
      <c r="Y224" s="5"/>
      <c r="Z224" s="5"/>
    </row>
    <row r="225" customFormat="false" ht="13.5" hidden="false" customHeight="true" outlineLevel="0" collapsed="false">
      <c r="A225" s="39"/>
      <c r="B225" s="5"/>
      <c r="C225" s="5"/>
      <c r="D225" s="7"/>
      <c r="E225" s="7"/>
      <c r="F225" s="7"/>
      <c r="G225" s="7"/>
      <c r="H225" s="5"/>
      <c r="I225" s="5"/>
      <c r="J225" s="5"/>
      <c r="K225" s="5"/>
      <c r="L225" s="5"/>
      <c r="M225" s="5"/>
      <c r="N225" s="5"/>
      <c r="O225" s="5"/>
      <c r="P225" s="5"/>
      <c r="Q225" s="5"/>
      <c r="R225" s="5"/>
      <c r="S225" s="5"/>
      <c r="T225" s="5"/>
      <c r="U225" s="5"/>
      <c r="V225" s="5"/>
      <c r="W225" s="5"/>
      <c r="X225" s="5"/>
      <c r="Y225" s="5"/>
      <c r="Z225" s="5"/>
    </row>
    <row r="226" customFormat="false" ht="13.5" hidden="false" customHeight="true" outlineLevel="0" collapsed="false">
      <c r="A226" s="39"/>
      <c r="B226" s="5"/>
      <c r="C226" s="5"/>
      <c r="D226" s="7"/>
      <c r="E226" s="7"/>
      <c r="F226" s="7"/>
      <c r="G226" s="7"/>
      <c r="H226" s="5"/>
      <c r="I226" s="5"/>
      <c r="J226" s="5"/>
      <c r="K226" s="5"/>
      <c r="L226" s="5"/>
      <c r="M226" s="5"/>
      <c r="N226" s="5"/>
      <c r="O226" s="5"/>
      <c r="P226" s="5"/>
      <c r="Q226" s="5"/>
      <c r="R226" s="5"/>
      <c r="S226" s="5"/>
      <c r="T226" s="5"/>
      <c r="U226" s="5"/>
      <c r="V226" s="5"/>
      <c r="W226" s="5"/>
      <c r="X226" s="5"/>
      <c r="Y226" s="5"/>
      <c r="Z226" s="5"/>
    </row>
    <row r="227" customFormat="false" ht="13.5" hidden="false" customHeight="true" outlineLevel="0" collapsed="false">
      <c r="A227" s="39"/>
      <c r="B227" s="5"/>
      <c r="C227" s="5"/>
      <c r="D227" s="7"/>
      <c r="E227" s="7"/>
      <c r="F227" s="7"/>
      <c r="G227" s="7"/>
      <c r="H227" s="5"/>
      <c r="I227" s="5"/>
      <c r="J227" s="5"/>
      <c r="K227" s="5"/>
      <c r="L227" s="5"/>
      <c r="M227" s="5"/>
      <c r="N227" s="5"/>
      <c r="O227" s="5"/>
      <c r="P227" s="5"/>
      <c r="Q227" s="5"/>
      <c r="R227" s="5"/>
      <c r="S227" s="5"/>
      <c r="T227" s="5"/>
      <c r="U227" s="5"/>
      <c r="V227" s="5"/>
      <c r="W227" s="5"/>
      <c r="X227" s="5"/>
      <c r="Y227" s="5"/>
      <c r="Z227" s="5"/>
    </row>
    <row r="228" customFormat="false" ht="13.5" hidden="false" customHeight="true" outlineLevel="0" collapsed="false">
      <c r="A228" s="39"/>
      <c r="B228" s="5"/>
      <c r="C228" s="5"/>
      <c r="D228" s="7"/>
      <c r="E228" s="7"/>
      <c r="F228" s="7"/>
      <c r="G228" s="7"/>
      <c r="H228" s="5"/>
      <c r="I228" s="5"/>
      <c r="J228" s="5"/>
      <c r="K228" s="5"/>
      <c r="L228" s="5"/>
      <c r="M228" s="5"/>
      <c r="N228" s="5"/>
      <c r="O228" s="5"/>
      <c r="P228" s="5"/>
      <c r="Q228" s="5"/>
      <c r="R228" s="5"/>
      <c r="S228" s="5"/>
      <c r="T228" s="5"/>
      <c r="U228" s="5"/>
      <c r="V228" s="5"/>
      <c r="W228" s="5"/>
      <c r="X228" s="5"/>
      <c r="Y228" s="5"/>
      <c r="Z228" s="5"/>
    </row>
    <row r="229" customFormat="false" ht="13.5" hidden="false" customHeight="true" outlineLevel="0" collapsed="false">
      <c r="A229" s="39"/>
      <c r="B229" s="5"/>
      <c r="C229" s="5"/>
      <c r="D229" s="7"/>
      <c r="E229" s="7"/>
      <c r="F229" s="7"/>
      <c r="G229" s="7"/>
      <c r="H229" s="5"/>
      <c r="I229" s="5"/>
      <c r="J229" s="5"/>
      <c r="K229" s="5"/>
      <c r="L229" s="5"/>
      <c r="M229" s="5"/>
      <c r="N229" s="5"/>
      <c r="O229" s="5"/>
      <c r="P229" s="5"/>
      <c r="Q229" s="5"/>
      <c r="R229" s="5"/>
      <c r="S229" s="5"/>
      <c r="T229" s="5"/>
      <c r="U229" s="5"/>
      <c r="V229" s="5"/>
      <c r="W229" s="5"/>
      <c r="X229" s="5"/>
      <c r="Y229" s="5"/>
      <c r="Z229" s="5"/>
    </row>
    <row r="230" customFormat="false" ht="13.5" hidden="false" customHeight="true" outlineLevel="0" collapsed="false">
      <c r="A230" s="39"/>
      <c r="B230" s="5"/>
      <c r="C230" s="5"/>
      <c r="D230" s="7"/>
      <c r="E230" s="7"/>
      <c r="F230" s="7"/>
      <c r="G230" s="7"/>
      <c r="H230" s="5"/>
      <c r="I230" s="5"/>
      <c r="J230" s="5"/>
      <c r="K230" s="5"/>
      <c r="L230" s="5"/>
      <c r="M230" s="5"/>
      <c r="N230" s="5"/>
      <c r="O230" s="5"/>
      <c r="P230" s="5"/>
      <c r="Q230" s="5"/>
      <c r="R230" s="5"/>
      <c r="S230" s="5"/>
      <c r="T230" s="5"/>
      <c r="U230" s="5"/>
      <c r="V230" s="5"/>
      <c r="W230" s="5"/>
      <c r="X230" s="5"/>
      <c r="Y230" s="5"/>
      <c r="Z230" s="5"/>
    </row>
    <row r="231" customFormat="false" ht="13.5" hidden="false" customHeight="true" outlineLevel="0" collapsed="false">
      <c r="A231" s="39"/>
      <c r="B231" s="5"/>
      <c r="C231" s="5"/>
      <c r="D231" s="7"/>
      <c r="E231" s="7"/>
      <c r="F231" s="7"/>
      <c r="G231" s="7"/>
      <c r="H231" s="5"/>
      <c r="I231" s="5"/>
      <c r="J231" s="5"/>
      <c r="K231" s="5"/>
      <c r="L231" s="5"/>
      <c r="M231" s="5"/>
      <c r="N231" s="5"/>
      <c r="O231" s="5"/>
      <c r="P231" s="5"/>
      <c r="Q231" s="5"/>
      <c r="R231" s="5"/>
      <c r="S231" s="5"/>
      <c r="T231" s="5"/>
      <c r="U231" s="5"/>
      <c r="V231" s="5"/>
      <c r="W231" s="5"/>
      <c r="X231" s="5"/>
      <c r="Y231" s="5"/>
      <c r="Z231" s="5"/>
    </row>
    <row r="232" customFormat="false" ht="13.5" hidden="false" customHeight="true" outlineLevel="0" collapsed="false">
      <c r="A232" s="39"/>
      <c r="B232" s="5"/>
      <c r="C232" s="5"/>
      <c r="D232" s="7"/>
      <c r="E232" s="7"/>
      <c r="F232" s="7"/>
      <c r="G232" s="7"/>
      <c r="H232" s="5"/>
      <c r="I232" s="5"/>
      <c r="J232" s="5"/>
      <c r="K232" s="5"/>
      <c r="L232" s="5"/>
      <c r="M232" s="5"/>
      <c r="N232" s="5"/>
      <c r="O232" s="5"/>
      <c r="P232" s="5"/>
      <c r="Q232" s="5"/>
      <c r="R232" s="5"/>
      <c r="S232" s="5"/>
      <c r="T232" s="5"/>
      <c r="U232" s="5"/>
      <c r="V232" s="5"/>
      <c r="W232" s="5"/>
      <c r="X232" s="5"/>
      <c r="Y232" s="5"/>
      <c r="Z232" s="5"/>
    </row>
    <row r="233" customFormat="false" ht="13.5" hidden="false" customHeight="true" outlineLevel="0" collapsed="false">
      <c r="A233" s="39"/>
      <c r="B233" s="5"/>
      <c r="C233" s="5"/>
      <c r="D233" s="7"/>
      <c r="E233" s="7"/>
      <c r="F233" s="7"/>
      <c r="G233" s="7"/>
      <c r="H233" s="5"/>
      <c r="I233" s="5"/>
      <c r="J233" s="5"/>
      <c r="K233" s="5"/>
      <c r="L233" s="5"/>
      <c r="M233" s="5"/>
      <c r="N233" s="5"/>
      <c r="O233" s="5"/>
      <c r="P233" s="5"/>
      <c r="Q233" s="5"/>
      <c r="R233" s="5"/>
      <c r="S233" s="5"/>
      <c r="T233" s="5"/>
      <c r="U233" s="5"/>
      <c r="V233" s="5"/>
      <c r="W233" s="5"/>
      <c r="X233" s="5"/>
      <c r="Y233" s="5"/>
      <c r="Z233" s="5"/>
    </row>
    <row r="234" customFormat="false" ht="13.5" hidden="false" customHeight="true" outlineLevel="0" collapsed="false">
      <c r="A234" s="39"/>
      <c r="B234" s="5"/>
      <c r="C234" s="5"/>
      <c r="D234" s="7"/>
      <c r="E234" s="7"/>
      <c r="F234" s="7"/>
      <c r="G234" s="7"/>
      <c r="H234" s="5"/>
      <c r="I234" s="5"/>
      <c r="J234" s="5"/>
      <c r="K234" s="5"/>
      <c r="L234" s="5"/>
      <c r="M234" s="5"/>
      <c r="N234" s="5"/>
      <c r="O234" s="5"/>
      <c r="P234" s="5"/>
      <c r="Q234" s="5"/>
      <c r="R234" s="5"/>
      <c r="S234" s="5"/>
      <c r="T234" s="5"/>
      <c r="U234" s="5"/>
      <c r="V234" s="5"/>
      <c r="W234" s="5"/>
      <c r="X234" s="5"/>
      <c r="Y234" s="5"/>
      <c r="Z234" s="5"/>
    </row>
    <row r="235" customFormat="false" ht="13.5" hidden="false" customHeight="true" outlineLevel="0" collapsed="false">
      <c r="A235" s="39"/>
      <c r="B235" s="5"/>
      <c r="C235" s="5"/>
      <c r="D235" s="7"/>
      <c r="E235" s="7"/>
      <c r="F235" s="7"/>
      <c r="G235" s="7"/>
      <c r="H235" s="5"/>
      <c r="I235" s="5"/>
      <c r="J235" s="5"/>
      <c r="K235" s="5"/>
      <c r="L235" s="5"/>
      <c r="M235" s="5"/>
      <c r="N235" s="5"/>
      <c r="O235" s="5"/>
      <c r="P235" s="5"/>
      <c r="Q235" s="5"/>
      <c r="R235" s="5"/>
      <c r="S235" s="5"/>
      <c r="T235" s="5"/>
      <c r="U235" s="5"/>
      <c r="V235" s="5"/>
      <c r="W235" s="5"/>
      <c r="X235" s="5"/>
      <c r="Y235" s="5"/>
      <c r="Z235" s="5"/>
    </row>
    <row r="236" customFormat="false" ht="13.5" hidden="false" customHeight="true" outlineLevel="0" collapsed="false">
      <c r="A236" s="39"/>
      <c r="B236" s="5"/>
      <c r="C236" s="5"/>
      <c r="D236" s="7"/>
      <c r="E236" s="7"/>
      <c r="F236" s="7"/>
      <c r="G236" s="7"/>
      <c r="H236" s="5"/>
      <c r="I236" s="5"/>
      <c r="J236" s="5"/>
      <c r="K236" s="5"/>
      <c r="L236" s="5"/>
      <c r="M236" s="5"/>
      <c r="N236" s="5"/>
      <c r="O236" s="5"/>
      <c r="P236" s="5"/>
      <c r="Q236" s="5"/>
      <c r="R236" s="5"/>
      <c r="S236" s="5"/>
      <c r="T236" s="5"/>
      <c r="U236" s="5"/>
      <c r="V236" s="5"/>
      <c r="W236" s="5"/>
      <c r="X236" s="5"/>
      <c r="Y236" s="5"/>
      <c r="Z236" s="5"/>
    </row>
    <row r="237" customFormat="false" ht="13.5" hidden="false" customHeight="true" outlineLevel="0" collapsed="false">
      <c r="A237" s="39"/>
      <c r="B237" s="5"/>
      <c r="C237" s="5"/>
      <c r="D237" s="7"/>
      <c r="E237" s="7"/>
      <c r="F237" s="7"/>
      <c r="G237" s="7"/>
      <c r="H237" s="5"/>
      <c r="I237" s="5"/>
      <c r="J237" s="5"/>
      <c r="K237" s="5"/>
      <c r="L237" s="5"/>
      <c r="M237" s="5"/>
      <c r="N237" s="5"/>
      <c r="O237" s="5"/>
      <c r="P237" s="5"/>
      <c r="Q237" s="5"/>
      <c r="R237" s="5"/>
      <c r="S237" s="5"/>
      <c r="T237" s="5"/>
      <c r="U237" s="5"/>
      <c r="V237" s="5"/>
      <c r="W237" s="5"/>
      <c r="X237" s="5"/>
      <c r="Y237" s="5"/>
      <c r="Z237" s="5"/>
    </row>
    <row r="238" customFormat="false" ht="13.5" hidden="false" customHeight="true" outlineLevel="0" collapsed="false">
      <c r="A238" s="39"/>
      <c r="B238" s="5"/>
      <c r="C238" s="5"/>
      <c r="D238" s="7"/>
      <c r="E238" s="7"/>
      <c r="F238" s="7"/>
      <c r="G238" s="7"/>
      <c r="H238" s="5"/>
      <c r="I238" s="5"/>
      <c r="J238" s="5"/>
      <c r="K238" s="5"/>
      <c r="L238" s="5"/>
      <c r="M238" s="5"/>
      <c r="N238" s="5"/>
      <c r="O238" s="5"/>
      <c r="P238" s="5"/>
      <c r="Q238" s="5"/>
      <c r="R238" s="5"/>
      <c r="S238" s="5"/>
      <c r="T238" s="5"/>
      <c r="U238" s="5"/>
      <c r="V238" s="5"/>
      <c r="W238" s="5"/>
      <c r="X238" s="5"/>
      <c r="Y238" s="5"/>
      <c r="Z238" s="5"/>
    </row>
    <row r="239" customFormat="false" ht="13.5" hidden="false" customHeight="true" outlineLevel="0" collapsed="false">
      <c r="A239" s="39"/>
      <c r="B239" s="5"/>
      <c r="C239" s="5"/>
      <c r="D239" s="7"/>
      <c r="E239" s="7"/>
      <c r="F239" s="7"/>
      <c r="G239" s="7"/>
      <c r="H239" s="5"/>
      <c r="I239" s="5"/>
      <c r="J239" s="5"/>
      <c r="K239" s="5"/>
      <c r="L239" s="5"/>
      <c r="M239" s="5"/>
      <c r="N239" s="5"/>
      <c r="O239" s="5"/>
      <c r="P239" s="5"/>
      <c r="Q239" s="5"/>
      <c r="R239" s="5"/>
      <c r="S239" s="5"/>
      <c r="T239" s="5"/>
      <c r="U239" s="5"/>
      <c r="V239" s="5"/>
      <c r="W239" s="5"/>
      <c r="X239" s="5"/>
      <c r="Y239" s="5"/>
      <c r="Z239" s="5"/>
    </row>
    <row r="240" customFormat="false" ht="13.5" hidden="false" customHeight="true" outlineLevel="0" collapsed="false">
      <c r="A240" s="39"/>
      <c r="B240" s="5"/>
      <c r="C240" s="5"/>
      <c r="D240" s="7"/>
      <c r="E240" s="7"/>
      <c r="F240" s="7"/>
      <c r="G240" s="7"/>
      <c r="H240" s="5"/>
      <c r="I240" s="5"/>
      <c r="J240" s="5"/>
      <c r="K240" s="5"/>
      <c r="L240" s="5"/>
      <c r="M240" s="5"/>
      <c r="N240" s="5"/>
      <c r="O240" s="5"/>
      <c r="P240" s="5"/>
      <c r="Q240" s="5"/>
      <c r="R240" s="5"/>
      <c r="S240" s="5"/>
      <c r="T240" s="5"/>
      <c r="U240" s="5"/>
      <c r="V240" s="5"/>
      <c r="W240" s="5"/>
      <c r="X240" s="5"/>
      <c r="Y240" s="5"/>
      <c r="Z240" s="5"/>
    </row>
    <row r="241" customFormat="false" ht="13.5" hidden="false" customHeight="true" outlineLevel="0" collapsed="false">
      <c r="A241" s="39"/>
      <c r="B241" s="5"/>
      <c r="C241" s="5"/>
      <c r="D241" s="7"/>
      <c r="E241" s="7"/>
      <c r="F241" s="7"/>
      <c r="G241" s="7"/>
      <c r="H241" s="5"/>
      <c r="I241" s="5"/>
      <c r="J241" s="5"/>
      <c r="K241" s="5"/>
      <c r="L241" s="5"/>
      <c r="M241" s="5"/>
      <c r="N241" s="5"/>
      <c r="O241" s="5"/>
      <c r="P241" s="5"/>
      <c r="Q241" s="5"/>
      <c r="R241" s="5"/>
      <c r="S241" s="5"/>
      <c r="T241" s="5"/>
      <c r="U241" s="5"/>
      <c r="V241" s="5"/>
      <c r="W241" s="5"/>
      <c r="X241" s="5"/>
      <c r="Y241" s="5"/>
      <c r="Z241" s="5"/>
    </row>
    <row r="242" customFormat="false" ht="13.5" hidden="false" customHeight="true" outlineLevel="0" collapsed="false">
      <c r="A242" s="39"/>
      <c r="B242" s="5"/>
      <c r="C242" s="5"/>
      <c r="D242" s="7"/>
      <c r="E242" s="7"/>
      <c r="F242" s="7"/>
      <c r="G242" s="7"/>
      <c r="H242" s="5"/>
      <c r="I242" s="5"/>
      <c r="J242" s="5"/>
      <c r="K242" s="5"/>
      <c r="L242" s="5"/>
      <c r="M242" s="5"/>
      <c r="N242" s="5"/>
      <c r="O242" s="5"/>
      <c r="P242" s="5"/>
      <c r="Q242" s="5"/>
      <c r="R242" s="5"/>
      <c r="S242" s="5"/>
      <c r="T242" s="5"/>
      <c r="U242" s="5"/>
      <c r="V242" s="5"/>
      <c r="W242" s="5"/>
      <c r="X242" s="5"/>
      <c r="Y242" s="5"/>
      <c r="Z242" s="5"/>
    </row>
    <row r="243" customFormat="false" ht="13.5" hidden="false" customHeight="true" outlineLevel="0" collapsed="false">
      <c r="A243" s="39"/>
      <c r="B243" s="5"/>
      <c r="C243" s="5"/>
      <c r="D243" s="7"/>
      <c r="E243" s="7"/>
      <c r="F243" s="7"/>
      <c r="G243" s="7"/>
      <c r="H243" s="5"/>
      <c r="I243" s="5"/>
      <c r="J243" s="5"/>
      <c r="K243" s="5"/>
      <c r="L243" s="5"/>
      <c r="M243" s="5"/>
      <c r="N243" s="5"/>
      <c r="O243" s="5"/>
      <c r="P243" s="5"/>
      <c r="Q243" s="5"/>
      <c r="R243" s="5"/>
      <c r="S243" s="5"/>
      <c r="T243" s="5"/>
      <c r="U243" s="5"/>
      <c r="V243" s="5"/>
      <c r="W243" s="5"/>
      <c r="X243" s="5"/>
      <c r="Y243" s="5"/>
      <c r="Z243" s="5"/>
    </row>
    <row r="244" customFormat="false" ht="13.5" hidden="false" customHeight="true" outlineLevel="0" collapsed="false">
      <c r="A244" s="39"/>
      <c r="B244" s="5"/>
      <c r="C244" s="5"/>
      <c r="D244" s="7"/>
      <c r="E244" s="7"/>
      <c r="F244" s="7"/>
      <c r="G244" s="7"/>
      <c r="H244" s="5"/>
      <c r="I244" s="5"/>
      <c r="J244" s="5"/>
      <c r="K244" s="5"/>
      <c r="L244" s="5"/>
      <c r="M244" s="5"/>
      <c r="N244" s="5"/>
      <c r="O244" s="5"/>
      <c r="P244" s="5"/>
      <c r="Q244" s="5"/>
      <c r="R244" s="5"/>
      <c r="S244" s="5"/>
      <c r="T244" s="5"/>
      <c r="U244" s="5"/>
      <c r="V244" s="5"/>
      <c r="W244" s="5"/>
      <c r="X244" s="5"/>
      <c r="Y244" s="5"/>
      <c r="Z244" s="5"/>
    </row>
    <row r="245" customFormat="false" ht="13.5" hidden="false" customHeight="true" outlineLevel="0" collapsed="false">
      <c r="A245" s="39"/>
      <c r="B245" s="5"/>
      <c r="C245" s="5"/>
      <c r="D245" s="7"/>
      <c r="E245" s="7"/>
      <c r="F245" s="7"/>
      <c r="G245" s="7"/>
      <c r="H245" s="5"/>
      <c r="I245" s="5"/>
      <c r="J245" s="5"/>
      <c r="K245" s="5"/>
      <c r="L245" s="5"/>
      <c r="M245" s="5"/>
      <c r="N245" s="5"/>
      <c r="O245" s="5"/>
      <c r="P245" s="5"/>
      <c r="Q245" s="5"/>
      <c r="R245" s="5"/>
      <c r="S245" s="5"/>
      <c r="T245" s="5"/>
      <c r="U245" s="5"/>
      <c r="V245" s="5"/>
      <c r="W245" s="5"/>
      <c r="X245" s="5"/>
      <c r="Y245" s="5"/>
      <c r="Z245" s="5"/>
    </row>
    <row r="246" customFormat="false" ht="13.5" hidden="false" customHeight="true" outlineLevel="0" collapsed="false">
      <c r="A246" s="39"/>
      <c r="B246" s="5"/>
      <c r="C246" s="5"/>
      <c r="D246" s="7"/>
      <c r="E246" s="7"/>
      <c r="F246" s="7"/>
      <c r="G246" s="7"/>
      <c r="H246" s="5"/>
      <c r="I246" s="5"/>
      <c r="J246" s="5"/>
      <c r="K246" s="5"/>
      <c r="L246" s="5"/>
      <c r="M246" s="5"/>
      <c r="N246" s="5"/>
      <c r="O246" s="5"/>
      <c r="P246" s="5"/>
      <c r="Q246" s="5"/>
      <c r="R246" s="5"/>
      <c r="S246" s="5"/>
      <c r="T246" s="5"/>
      <c r="U246" s="5"/>
      <c r="V246" s="5"/>
      <c r="W246" s="5"/>
      <c r="X246" s="5"/>
      <c r="Y246" s="5"/>
      <c r="Z246" s="5"/>
    </row>
    <row r="247" customFormat="false" ht="13.5" hidden="false" customHeight="true" outlineLevel="0" collapsed="false">
      <c r="A247" s="39"/>
      <c r="B247" s="5"/>
      <c r="C247" s="5"/>
      <c r="D247" s="7"/>
      <c r="E247" s="7"/>
      <c r="F247" s="7"/>
      <c r="G247" s="7"/>
      <c r="H247" s="5"/>
      <c r="I247" s="5"/>
      <c r="J247" s="5"/>
      <c r="K247" s="5"/>
      <c r="L247" s="5"/>
      <c r="M247" s="5"/>
      <c r="N247" s="5"/>
      <c r="O247" s="5"/>
      <c r="P247" s="5"/>
      <c r="Q247" s="5"/>
      <c r="R247" s="5"/>
      <c r="S247" s="5"/>
      <c r="T247" s="5"/>
      <c r="U247" s="5"/>
      <c r="V247" s="5"/>
      <c r="W247" s="5"/>
      <c r="X247" s="5"/>
      <c r="Y247" s="5"/>
      <c r="Z247" s="5"/>
    </row>
    <row r="248" customFormat="false" ht="13.5" hidden="false" customHeight="true" outlineLevel="0" collapsed="false">
      <c r="A248" s="39"/>
      <c r="B248" s="5"/>
      <c r="C248" s="5"/>
      <c r="D248" s="7"/>
      <c r="E248" s="7"/>
      <c r="F248" s="7"/>
      <c r="G248" s="7"/>
      <c r="H248" s="5"/>
      <c r="I248" s="5"/>
      <c r="J248" s="5"/>
      <c r="K248" s="5"/>
      <c r="L248" s="5"/>
      <c r="M248" s="5"/>
      <c r="N248" s="5"/>
      <c r="O248" s="5"/>
      <c r="P248" s="5"/>
      <c r="Q248" s="5"/>
      <c r="R248" s="5"/>
      <c r="S248" s="5"/>
      <c r="T248" s="5"/>
      <c r="U248" s="5"/>
      <c r="V248" s="5"/>
      <c r="W248" s="5"/>
      <c r="X248" s="5"/>
      <c r="Y248" s="5"/>
      <c r="Z248" s="5"/>
    </row>
    <row r="249" customFormat="false" ht="13.5" hidden="false" customHeight="true" outlineLevel="0" collapsed="false">
      <c r="A249" s="39"/>
      <c r="B249" s="5"/>
      <c r="C249" s="5"/>
      <c r="D249" s="7"/>
      <c r="E249" s="7"/>
      <c r="F249" s="7"/>
      <c r="G249" s="7"/>
      <c r="H249" s="5"/>
      <c r="I249" s="5"/>
      <c r="J249" s="5"/>
      <c r="K249" s="5"/>
      <c r="L249" s="5"/>
      <c r="M249" s="5"/>
      <c r="N249" s="5"/>
      <c r="O249" s="5"/>
      <c r="P249" s="5"/>
      <c r="Q249" s="5"/>
      <c r="R249" s="5"/>
      <c r="S249" s="5"/>
      <c r="T249" s="5"/>
      <c r="U249" s="5"/>
      <c r="V249" s="5"/>
      <c r="W249" s="5"/>
      <c r="X249" s="5"/>
      <c r="Y249" s="5"/>
      <c r="Z249" s="5"/>
    </row>
    <row r="250" customFormat="false" ht="13.5" hidden="false" customHeight="true" outlineLevel="0" collapsed="false">
      <c r="A250" s="39"/>
      <c r="B250" s="5"/>
      <c r="C250" s="5"/>
      <c r="D250" s="7"/>
      <c r="E250" s="7"/>
      <c r="F250" s="7"/>
      <c r="G250" s="7"/>
      <c r="H250" s="5"/>
      <c r="I250" s="5"/>
      <c r="J250" s="5"/>
      <c r="K250" s="5"/>
      <c r="L250" s="5"/>
      <c r="M250" s="5"/>
      <c r="N250" s="5"/>
      <c r="O250" s="5"/>
      <c r="P250" s="5"/>
      <c r="Q250" s="5"/>
      <c r="R250" s="5"/>
      <c r="S250" s="5"/>
      <c r="T250" s="5"/>
      <c r="U250" s="5"/>
      <c r="V250" s="5"/>
      <c r="W250" s="5"/>
      <c r="X250" s="5"/>
      <c r="Y250" s="5"/>
      <c r="Z250" s="5"/>
    </row>
    <row r="251" customFormat="false" ht="13.5" hidden="false" customHeight="true" outlineLevel="0" collapsed="false">
      <c r="A251" s="39"/>
      <c r="B251" s="5"/>
      <c r="C251" s="5"/>
      <c r="D251" s="7"/>
      <c r="E251" s="7"/>
      <c r="F251" s="7"/>
      <c r="G251" s="7"/>
      <c r="H251" s="5"/>
      <c r="I251" s="5"/>
      <c r="J251" s="5"/>
      <c r="K251" s="5"/>
      <c r="L251" s="5"/>
      <c r="M251" s="5"/>
      <c r="N251" s="5"/>
      <c r="O251" s="5"/>
      <c r="P251" s="5"/>
      <c r="Q251" s="5"/>
      <c r="R251" s="5"/>
      <c r="S251" s="5"/>
      <c r="T251" s="5"/>
      <c r="U251" s="5"/>
      <c r="V251" s="5"/>
      <c r="W251" s="5"/>
      <c r="X251" s="5"/>
      <c r="Y251" s="5"/>
      <c r="Z251" s="5"/>
    </row>
    <row r="252" customFormat="false" ht="13.5" hidden="false" customHeight="true" outlineLevel="0" collapsed="false">
      <c r="A252" s="39"/>
      <c r="B252" s="5"/>
      <c r="C252" s="5"/>
      <c r="D252" s="7"/>
      <c r="E252" s="7"/>
      <c r="F252" s="7"/>
      <c r="G252" s="7"/>
      <c r="H252" s="5"/>
      <c r="I252" s="5"/>
      <c r="J252" s="5"/>
      <c r="K252" s="5"/>
      <c r="L252" s="5"/>
      <c r="M252" s="5"/>
      <c r="N252" s="5"/>
      <c r="O252" s="5"/>
      <c r="P252" s="5"/>
      <c r="Q252" s="5"/>
      <c r="R252" s="5"/>
      <c r="S252" s="5"/>
      <c r="T252" s="5"/>
      <c r="U252" s="5"/>
      <c r="V252" s="5"/>
      <c r="W252" s="5"/>
      <c r="X252" s="5"/>
      <c r="Y252" s="5"/>
      <c r="Z252" s="5"/>
    </row>
    <row r="253" customFormat="false" ht="13.5" hidden="false" customHeight="true" outlineLevel="0" collapsed="false">
      <c r="A253" s="39"/>
      <c r="B253" s="5"/>
      <c r="C253" s="5"/>
      <c r="D253" s="7"/>
      <c r="E253" s="7"/>
      <c r="F253" s="7"/>
      <c r="G253" s="7"/>
      <c r="H253" s="5"/>
      <c r="I253" s="5"/>
      <c r="J253" s="5"/>
      <c r="K253" s="5"/>
      <c r="L253" s="5"/>
      <c r="M253" s="5"/>
      <c r="N253" s="5"/>
      <c r="O253" s="5"/>
      <c r="P253" s="5"/>
      <c r="Q253" s="5"/>
      <c r="R253" s="5"/>
      <c r="S253" s="5"/>
      <c r="T253" s="5"/>
      <c r="U253" s="5"/>
      <c r="V253" s="5"/>
      <c r="W253" s="5"/>
      <c r="X253" s="5"/>
      <c r="Y253" s="5"/>
      <c r="Z253" s="5"/>
    </row>
    <row r="254" customFormat="false" ht="13.5" hidden="false" customHeight="true" outlineLevel="0" collapsed="false">
      <c r="A254" s="39"/>
      <c r="B254" s="5"/>
      <c r="C254" s="5"/>
      <c r="D254" s="7"/>
      <c r="E254" s="7"/>
      <c r="F254" s="7"/>
      <c r="G254" s="7"/>
      <c r="H254" s="5"/>
      <c r="I254" s="5"/>
      <c r="J254" s="5"/>
      <c r="K254" s="5"/>
      <c r="L254" s="5"/>
      <c r="M254" s="5"/>
      <c r="N254" s="5"/>
      <c r="O254" s="5"/>
      <c r="P254" s="5"/>
      <c r="Q254" s="5"/>
      <c r="R254" s="5"/>
      <c r="S254" s="5"/>
      <c r="T254" s="5"/>
      <c r="U254" s="5"/>
      <c r="V254" s="5"/>
      <c r="W254" s="5"/>
      <c r="X254" s="5"/>
      <c r="Y254" s="5"/>
      <c r="Z254" s="5"/>
    </row>
    <row r="255" customFormat="false" ht="13.5" hidden="false" customHeight="true" outlineLevel="0" collapsed="false">
      <c r="A255" s="39"/>
      <c r="B255" s="5"/>
      <c r="C255" s="5"/>
      <c r="D255" s="7"/>
      <c r="E255" s="7"/>
      <c r="F255" s="7"/>
      <c r="G255" s="7"/>
      <c r="H255" s="5"/>
      <c r="I255" s="5"/>
      <c r="J255" s="5"/>
      <c r="K255" s="5"/>
      <c r="L255" s="5"/>
      <c r="M255" s="5"/>
      <c r="N255" s="5"/>
      <c r="O255" s="5"/>
      <c r="P255" s="5"/>
      <c r="Q255" s="5"/>
      <c r="R255" s="5"/>
      <c r="S255" s="5"/>
      <c r="T255" s="5"/>
      <c r="U255" s="5"/>
      <c r="V255" s="5"/>
      <c r="W255" s="5"/>
      <c r="X255" s="5"/>
      <c r="Y255" s="5"/>
      <c r="Z255" s="5"/>
    </row>
    <row r="256" customFormat="false" ht="13.5" hidden="false" customHeight="true" outlineLevel="0" collapsed="false">
      <c r="A256" s="39"/>
      <c r="B256" s="5"/>
      <c r="C256" s="5"/>
      <c r="D256" s="7"/>
      <c r="E256" s="7"/>
      <c r="F256" s="7"/>
      <c r="G256" s="7"/>
      <c r="H256" s="5"/>
      <c r="I256" s="5"/>
      <c r="J256" s="5"/>
      <c r="K256" s="5"/>
      <c r="L256" s="5"/>
      <c r="M256" s="5"/>
      <c r="N256" s="5"/>
      <c r="O256" s="5"/>
      <c r="P256" s="5"/>
      <c r="Q256" s="5"/>
      <c r="R256" s="5"/>
      <c r="S256" s="5"/>
      <c r="T256" s="5"/>
      <c r="U256" s="5"/>
      <c r="V256" s="5"/>
      <c r="W256" s="5"/>
      <c r="X256" s="5"/>
      <c r="Y256" s="5"/>
      <c r="Z256" s="5"/>
    </row>
    <row r="257" customFormat="false" ht="13.5" hidden="false" customHeight="true" outlineLevel="0" collapsed="false">
      <c r="A257" s="39"/>
      <c r="B257" s="5"/>
      <c r="C257" s="5"/>
      <c r="D257" s="7"/>
      <c r="E257" s="7"/>
      <c r="F257" s="7"/>
      <c r="G257" s="7"/>
      <c r="H257" s="5"/>
      <c r="I257" s="5"/>
      <c r="J257" s="5"/>
      <c r="K257" s="5"/>
      <c r="L257" s="5"/>
      <c r="M257" s="5"/>
      <c r="N257" s="5"/>
      <c r="O257" s="5"/>
      <c r="P257" s="5"/>
      <c r="Q257" s="5"/>
      <c r="R257" s="5"/>
      <c r="S257" s="5"/>
      <c r="T257" s="5"/>
      <c r="U257" s="5"/>
      <c r="V257" s="5"/>
      <c r="W257" s="5"/>
      <c r="X257" s="5"/>
      <c r="Y257" s="5"/>
      <c r="Z257" s="5"/>
    </row>
    <row r="258" customFormat="false" ht="13.5" hidden="false" customHeight="true" outlineLevel="0" collapsed="false">
      <c r="A258" s="39"/>
      <c r="B258" s="5"/>
      <c r="C258" s="5"/>
      <c r="D258" s="7"/>
      <c r="E258" s="7"/>
      <c r="F258" s="7"/>
      <c r="G258" s="7"/>
      <c r="H258" s="5"/>
      <c r="I258" s="5"/>
      <c r="J258" s="5"/>
      <c r="K258" s="5"/>
      <c r="L258" s="5"/>
      <c r="M258" s="5"/>
      <c r="N258" s="5"/>
      <c r="O258" s="5"/>
      <c r="P258" s="5"/>
      <c r="Q258" s="5"/>
      <c r="R258" s="5"/>
      <c r="S258" s="5"/>
      <c r="T258" s="5"/>
      <c r="U258" s="5"/>
      <c r="V258" s="5"/>
      <c r="W258" s="5"/>
      <c r="X258" s="5"/>
      <c r="Y258" s="5"/>
      <c r="Z258" s="5"/>
    </row>
    <row r="259" customFormat="false" ht="13.5" hidden="false" customHeight="true" outlineLevel="0" collapsed="false">
      <c r="A259" s="39"/>
      <c r="B259" s="5"/>
      <c r="C259" s="5"/>
      <c r="D259" s="7"/>
      <c r="E259" s="7"/>
      <c r="F259" s="7"/>
      <c r="G259" s="7"/>
      <c r="H259" s="5"/>
      <c r="I259" s="5"/>
      <c r="J259" s="5"/>
      <c r="K259" s="5"/>
      <c r="L259" s="5"/>
      <c r="M259" s="5"/>
      <c r="N259" s="5"/>
      <c r="O259" s="5"/>
      <c r="P259" s="5"/>
      <c r="Q259" s="5"/>
      <c r="R259" s="5"/>
      <c r="S259" s="5"/>
      <c r="T259" s="5"/>
      <c r="U259" s="5"/>
      <c r="V259" s="5"/>
      <c r="W259" s="5"/>
      <c r="X259" s="5"/>
      <c r="Y259" s="5"/>
      <c r="Z259" s="5"/>
    </row>
    <row r="260" customFormat="false" ht="13.5" hidden="false" customHeight="true" outlineLevel="0" collapsed="false">
      <c r="A260" s="39"/>
      <c r="B260" s="5"/>
      <c r="C260" s="5"/>
      <c r="D260" s="7"/>
      <c r="E260" s="7"/>
      <c r="F260" s="7"/>
      <c r="G260" s="7"/>
      <c r="H260" s="5"/>
      <c r="I260" s="5"/>
      <c r="J260" s="5"/>
      <c r="K260" s="5"/>
      <c r="L260" s="5"/>
      <c r="M260" s="5"/>
      <c r="N260" s="5"/>
      <c r="O260" s="5"/>
      <c r="P260" s="5"/>
      <c r="Q260" s="5"/>
      <c r="R260" s="5"/>
      <c r="S260" s="5"/>
      <c r="T260" s="5"/>
      <c r="U260" s="5"/>
      <c r="V260" s="5"/>
      <c r="W260" s="5"/>
      <c r="X260" s="5"/>
      <c r="Y260" s="5"/>
      <c r="Z260" s="5"/>
    </row>
    <row r="261" customFormat="false" ht="13.5" hidden="false" customHeight="true" outlineLevel="0" collapsed="false">
      <c r="A261" s="39"/>
      <c r="B261" s="5"/>
      <c r="C261" s="5"/>
      <c r="D261" s="7"/>
      <c r="E261" s="7"/>
      <c r="F261" s="7"/>
      <c r="G261" s="7"/>
      <c r="H261" s="5"/>
      <c r="I261" s="5"/>
      <c r="J261" s="5"/>
      <c r="K261" s="5"/>
      <c r="L261" s="5"/>
      <c r="M261" s="5"/>
      <c r="N261" s="5"/>
      <c r="O261" s="5"/>
      <c r="P261" s="5"/>
      <c r="Q261" s="5"/>
      <c r="R261" s="5"/>
      <c r="S261" s="5"/>
      <c r="T261" s="5"/>
      <c r="U261" s="5"/>
      <c r="V261" s="5"/>
      <c r="W261" s="5"/>
      <c r="X261" s="5"/>
      <c r="Y261" s="5"/>
      <c r="Z261" s="5"/>
    </row>
    <row r="262" customFormat="false" ht="13.5" hidden="false" customHeight="true" outlineLevel="0" collapsed="false">
      <c r="A262" s="39"/>
      <c r="B262" s="5"/>
      <c r="C262" s="5"/>
      <c r="D262" s="7"/>
      <c r="E262" s="7"/>
      <c r="F262" s="7"/>
      <c r="G262" s="7"/>
      <c r="H262" s="5"/>
      <c r="I262" s="5"/>
      <c r="J262" s="5"/>
      <c r="K262" s="5"/>
      <c r="L262" s="5"/>
      <c r="M262" s="5"/>
      <c r="N262" s="5"/>
      <c r="O262" s="5"/>
      <c r="P262" s="5"/>
      <c r="Q262" s="5"/>
      <c r="R262" s="5"/>
      <c r="S262" s="5"/>
      <c r="T262" s="5"/>
      <c r="U262" s="5"/>
      <c r="V262" s="5"/>
      <c r="W262" s="5"/>
      <c r="X262" s="5"/>
      <c r="Y262" s="5"/>
      <c r="Z262" s="5"/>
    </row>
    <row r="263" customFormat="false" ht="13.5" hidden="false" customHeight="true" outlineLevel="0" collapsed="false">
      <c r="A263" s="39"/>
      <c r="B263" s="5"/>
      <c r="C263" s="5"/>
      <c r="D263" s="7"/>
      <c r="E263" s="7"/>
      <c r="F263" s="7"/>
      <c r="G263" s="7"/>
      <c r="H263" s="5"/>
      <c r="I263" s="5"/>
      <c r="J263" s="5"/>
      <c r="K263" s="5"/>
      <c r="L263" s="5"/>
      <c r="M263" s="5"/>
      <c r="N263" s="5"/>
      <c r="O263" s="5"/>
      <c r="P263" s="5"/>
      <c r="Q263" s="5"/>
      <c r="R263" s="5"/>
      <c r="S263" s="5"/>
      <c r="T263" s="5"/>
      <c r="U263" s="5"/>
      <c r="V263" s="5"/>
      <c r="W263" s="5"/>
      <c r="X263" s="5"/>
      <c r="Y263" s="5"/>
      <c r="Z263" s="5"/>
    </row>
    <row r="264" customFormat="false" ht="13.5" hidden="false" customHeight="true" outlineLevel="0" collapsed="false">
      <c r="A264" s="39"/>
      <c r="B264" s="5"/>
      <c r="C264" s="5"/>
      <c r="D264" s="7"/>
      <c r="E264" s="7"/>
      <c r="F264" s="7"/>
      <c r="G264" s="7"/>
      <c r="H264" s="5"/>
      <c r="I264" s="5"/>
      <c r="J264" s="5"/>
      <c r="K264" s="5"/>
      <c r="L264" s="5"/>
      <c r="M264" s="5"/>
      <c r="N264" s="5"/>
      <c r="O264" s="5"/>
      <c r="P264" s="5"/>
      <c r="Q264" s="5"/>
      <c r="R264" s="5"/>
      <c r="S264" s="5"/>
      <c r="T264" s="5"/>
      <c r="U264" s="5"/>
      <c r="V264" s="5"/>
      <c r="W264" s="5"/>
      <c r="X264" s="5"/>
      <c r="Y264" s="5"/>
      <c r="Z264" s="5"/>
    </row>
    <row r="265" customFormat="false" ht="13.5" hidden="false" customHeight="true" outlineLevel="0" collapsed="false">
      <c r="A265" s="39"/>
      <c r="B265" s="5"/>
      <c r="C265" s="5"/>
      <c r="D265" s="7"/>
      <c r="E265" s="7"/>
      <c r="F265" s="7"/>
      <c r="G265" s="7"/>
      <c r="H265" s="5"/>
      <c r="I265" s="5"/>
      <c r="J265" s="5"/>
      <c r="K265" s="5"/>
      <c r="L265" s="5"/>
      <c r="M265" s="5"/>
      <c r="N265" s="5"/>
      <c r="O265" s="5"/>
      <c r="P265" s="5"/>
      <c r="Q265" s="5"/>
      <c r="R265" s="5"/>
      <c r="S265" s="5"/>
      <c r="T265" s="5"/>
      <c r="U265" s="5"/>
      <c r="V265" s="5"/>
      <c r="W265" s="5"/>
      <c r="X265" s="5"/>
      <c r="Y265" s="5"/>
      <c r="Z265" s="5"/>
    </row>
    <row r="266" customFormat="false" ht="13.5" hidden="false" customHeight="true" outlineLevel="0" collapsed="false">
      <c r="A266" s="39"/>
      <c r="B266" s="5"/>
      <c r="C266" s="5"/>
      <c r="D266" s="7"/>
      <c r="E266" s="7"/>
      <c r="F266" s="7"/>
      <c r="G266" s="7"/>
      <c r="H266" s="5"/>
      <c r="I266" s="5"/>
      <c r="J266" s="5"/>
      <c r="K266" s="5"/>
      <c r="L266" s="5"/>
      <c r="M266" s="5"/>
      <c r="N266" s="5"/>
      <c r="O266" s="5"/>
      <c r="P266" s="5"/>
      <c r="Q266" s="5"/>
      <c r="R266" s="5"/>
      <c r="S266" s="5"/>
      <c r="T266" s="5"/>
      <c r="U266" s="5"/>
      <c r="V266" s="5"/>
      <c r="W266" s="5"/>
      <c r="X266" s="5"/>
      <c r="Y266" s="5"/>
      <c r="Z266" s="5"/>
    </row>
    <row r="267" customFormat="false" ht="13.5" hidden="false" customHeight="true" outlineLevel="0" collapsed="false">
      <c r="A267" s="39"/>
      <c r="B267" s="5"/>
      <c r="C267" s="5"/>
      <c r="D267" s="7"/>
      <c r="E267" s="7"/>
      <c r="F267" s="7"/>
      <c r="G267" s="7"/>
      <c r="H267" s="5"/>
      <c r="I267" s="5"/>
      <c r="J267" s="5"/>
      <c r="K267" s="5"/>
      <c r="L267" s="5"/>
      <c r="M267" s="5"/>
      <c r="N267" s="5"/>
      <c r="O267" s="5"/>
      <c r="P267" s="5"/>
      <c r="Q267" s="5"/>
      <c r="R267" s="5"/>
      <c r="S267" s="5"/>
      <c r="T267" s="5"/>
      <c r="U267" s="5"/>
      <c r="V267" s="5"/>
      <c r="W267" s="5"/>
      <c r="X267" s="5"/>
      <c r="Y267" s="5"/>
      <c r="Z267" s="5"/>
    </row>
    <row r="268" customFormat="false" ht="13.5" hidden="false" customHeight="true" outlineLevel="0" collapsed="false">
      <c r="A268" s="39"/>
      <c r="B268" s="5"/>
      <c r="C268" s="5"/>
      <c r="D268" s="7"/>
      <c r="E268" s="7"/>
      <c r="F268" s="7"/>
      <c r="G268" s="7"/>
      <c r="H268" s="5"/>
      <c r="I268" s="5"/>
      <c r="J268" s="5"/>
      <c r="K268" s="5"/>
      <c r="L268" s="5"/>
      <c r="M268" s="5"/>
      <c r="N268" s="5"/>
      <c r="O268" s="5"/>
      <c r="P268" s="5"/>
      <c r="Q268" s="5"/>
      <c r="R268" s="5"/>
      <c r="S268" s="5"/>
      <c r="T268" s="5"/>
      <c r="U268" s="5"/>
      <c r="V268" s="5"/>
      <c r="W268" s="5"/>
      <c r="X268" s="5"/>
      <c r="Y268" s="5"/>
      <c r="Z268" s="5"/>
    </row>
    <row r="269" customFormat="false" ht="13.5" hidden="false" customHeight="true" outlineLevel="0" collapsed="false">
      <c r="A269" s="39"/>
      <c r="B269" s="5"/>
      <c r="C269" s="5"/>
      <c r="D269" s="7"/>
      <c r="E269" s="7"/>
      <c r="F269" s="7"/>
      <c r="G269" s="7"/>
      <c r="H269" s="5"/>
      <c r="I269" s="5"/>
      <c r="J269" s="5"/>
      <c r="K269" s="5"/>
      <c r="L269" s="5"/>
      <c r="M269" s="5"/>
      <c r="N269" s="5"/>
      <c r="O269" s="5"/>
      <c r="P269" s="5"/>
      <c r="Q269" s="5"/>
      <c r="R269" s="5"/>
      <c r="S269" s="5"/>
      <c r="T269" s="5"/>
      <c r="U269" s="5"/>
      <c r="V269" s="5"/>
      <c r="W269" s="5"/>
      <c r="X269" s="5"/>
      <c r="Y269" s="5"/>
      <c r="Z269" s="5"/>
    </row>
    <row r="270" customFormat="false" ht="13.5" hidden="false" customHeight="true" outlineLevel="0" collapsed="false">
      <c r="A270" s="39"/>
      <c r="B270" s="5"/>
      <c r="C270" s="5"/>
      <c r="D270" s="7"/>
      <c r="E270" s="7"/>
      <c r="F270" s="7"/>
      <c r="G270" s="7"/>
      <c r="H270" s="5"/>
      <c r="I270" s="5"/>
      <c r="J270" s="5"/>
      <c r="K270" s="5"/>
      <c r="L270" s="5"/>
      <c r="M270" s="5"/>
      <c r="N270" s="5"/>
      <c r="O270" s="5"/>
      <c r="P270" s="5"/>
      <c r="Q270" s="5"/>
      <c r="R270" s="5"/>
      <c r="S270" s="5"/>
      <c r="T270" s="5"/>
      <c r="U270" s="5"/>
      <c r="V270" s="5"/>
      <c r="W270" s="5"/>
      <c r="X270" s="5"/>
      <c r="Y270" s="5"/>
      <c r="Z270" s="5"/>
    </row>
    <row r="271" customFormat="false" ht="13.5" hidden="false" customHeight="true" outlineLevel="0" collapsed="false">
      <c r="A271" s="39"/>
      <c r="B271" s="5"/>
      <c r="C271" s="5"/>
      <c r="D271" s="7"/>
      <c r="E271" s="7"/>
      <c r="F271" s="7"/>
      <c r="G271" s="7"/>
      <c r="H271" s="5"/>
      <c r="I271" s="5"/>
      <c r="J271" s="5"/>
      <c r="K271" s="5"/>
      <c r="L271" s="5"/>
      <c r="M271" s="5"/>
      <c r="N271" s="5"/>
      <c r="O271" s="5"/>
      <c r="P271" s="5"/>
      <c r="Q271" s="5"/>
      <c r="R271" s="5"/>
      <c r="S271" s="5"/>
      <c r="T271" s="5"/>
      <c r="U271" s="5"/>
      <c r="V271" s="5"/>
      <c r="W271" s="5"/>
      <c r="X271" s="5"/>
      <c r="Y271" s="5"/>
      <c r="Z271" s="5"/>
    </row>
    <row r="272" customFormat="false" ht="13.5" hidden="false" customHeight="true" outlineLevel="0" collapsed="false">
      <c r="A272" s="39"/>
      <c r="B272" s="5"/>
      <c r="C272" s="5"/>
      <c r="D272" s="7"/>
      <c r="E272" s="7"/>
      <c r="F272" s="7"/>
      <c r="G272" s="7"/>
      <c r="H272" s="5"/>
      <c r="I272" s="5"/>
      <c r="J272" s="5"/>
      <c r="K272" s="5"/>
      <c r="L272" s="5"/>
      <c r="M272" s="5"/>
      <c r="N272" s="5"/>
      <c r="O272" s="5"/>
      <c r="P272" s="5"/>
      <c r="Q272" s="5"/>
      <c r="R272" s="5"/>
      <c r="S272" s="5"/>
      <c r="T272" s="5"/>
      <c r="U272" s="5"/>
      <c r="V272" s="5"/>
      <c r="W272" s="5"/>
      <c r="X272" s="5"/>
      <c r="Y272" s="5"/>
      <c r="Z272" s="5"/>
    </row>
    <row r="273" customFormat="false" ht="13.5" hidden="false" customHeight="true" outlineLevel="0" collapsed="false">
      <c r="A273" s="39"/>
      <c r="B273" s="5"/>
      <c r="C273" s="5"/>
      <c r="D273" s="7"/>
      <c r="E273" s="7"/>
      <c r="F273" s="7"/>
      <c r="G273" s="7"/>
      <c r="H273" s="5"/>
      <c r="I273" s="5"/>
      <c r="J273" s="5"/>
      <c r="K273" s="5"/>
      <c r="L273" s="5"/>
      <c r="M273" s="5"/>
      <c r="N273" s="5"/>
      <c r="O273" s="5"/>
      <c r="P273" s="5"/>
      <c r="Q273" s="5"/>
      <c r="R273" s="5"/>
      <c r="S273" s="5"/>
      <c r="T273" s="5"/>
      <c r="U273" s="5"/>
      <c r="V273" s="5"/>
      <c r="W273" s="5"/>
      <c r="X273" s="5"/>
      <c r="Y273" s="5"/>
      <c r="Z273" s="5"/>
    </row>
    <row r="274" customFormat="false" ht="13.5" hidden="false" customHeight="true" outlineLevel="0" collapsed="false">
      <c r="A274" s="39"/>
      <c r="B274" s="5"/>
      <c r="C274" s="5"/>
      <c r="D274" s="7"/>
      <c r="E274" s="7"/>
      <c r="F274" s="7"/>
      <c r="G274" s="7"/>
      <c r="H274" s="5"/>
      <c r="I274" s="5"/>
      <c r="J274" s="5"/>
      <c r="K274" s="5"/>
      <c r="L274" s="5"/>
      <c r="M274" s="5"/>
      <c r="N274" s="5"/>
      <c r="O274" s="5"/>
      <c r="P274" s="5"/>
      <c r="Q274" s="5"/>
      <c r="R274" s="5"/>
      <c r="S274" s="5"/>
      <c r="T274" s="5"/>
      <c r="U274" s="5"/>
      <c r="V274" s="5"/>
      <c r="W274" s="5"/>
      <c r="X274" s="5"/>
      <c r="Y274" s="5"/>
      <c r="Z274" s="5"/>
    </row>
    <row r="275" customFormat="false" ht="13.5" hidden="false" customHeight="true" outlineLevel="0" collapsed="false">
      <c r="A275" s="39"/>
      <c r="B275" s="5"/>
      <c r="C275" s="5"/>
      <c r="D275" s="7"/>
      <c r="E275" s="7"/>
      <c r="F275" s="7"/>
      <c r="G275" s="7"/>
      <c r="H275" s="5"/>
      <c r="I275" s="5"/>
      <c r="J275" s="5"/>
      <c r="K275" s="5"/>
      <c r="L275" s="5"/>
      <c r="M275" s="5"/>
      <c r="N275" s="5"/>
      <c r="O275" s="5"/>
      <c r="P275" s="5"/>
      <c r="Q275" s="5"/>
      <c r="R275" s="5"/>
      <c r="S275" s="5"/>
      <c r="T275" s="5"/>
      <c r="U275" s="5"/>
      <c r="V275" s="5"/>
      <c r="W275" s="5"/>
      <c r="X275" s="5"/>
      <c r="Y275" s="5"/>
      <c r="Z275" s="5"/>
    </row>
    <row r="276" customFormat="false" ht="13.5" hidden="false" customHeight="true" outlineLevel="0" collapsed="false">
      <c r="A276" s="39"/>
      <c r="B276" s="5"/>
      <c r="C276" s="5"/>
      <c r="D276" s="7"/>
      <c r="E276" s="7"/>
      <c r="F276" s="7"/>
      <c r="G276" s="7"/>
      <c r="H276" s="5"/>
      <c r="I276" s="5"/>
      <c r="J276" s="5"/>
      <c r="K276" s="5"/>
      <c r="L276" s="5"/>
      <c r="M276" s="5"/>
      <c r="N276" s="5"/>
      <c r="O276" s="5"/>
      <c r="P276" s="5"/>
      <c r="Q276" s="5"/>
      <c r="R276" s="5"/>
      <c r="S276" s="5"/>
      <c r="T276" s="5"/>
      <c r="U276" s="5"/>
      <c r="V276" s="5"/>
      <c r="W276" s="5"/>
      <c r="X276" s="5"/>
      <c r="Y276" s="5"/>
      <c r="Z276" s="5"/>
    </row>
    <row r="277" customFormat="false" ht="13.5" hidden="false" customHeight="true" outlineLevel="0" collapsed="false">
      <c r="A277" s="39"/>
      <c r="B277" s="5"/>
      <c r="C277" s="5"/>
      <c r="D277" s="7"/>
      <c r="E277" s="7"/>
      <c r="F277" s="7"/>
      <c r="G277" s="7"/>
      <c r="H277" s="5"/>
      <c r="I277" s="5"/>
      <c r="J277" s="5"/>
      <c r="K277" s="5"/>
      <c r="L277" s="5"/>
      <c r="M277" s="5"/>
      <c r="N277" s="5"/>
      <c r="O277" s="5"/>
      <c r="P277" s="5"/>
      <c r="Q277" s="5"/>
      <c r="R277" s="5"/>
      <c r="S277" s="5"/>
      <c r="T277" s="5"/>
      <c r="U277" s="5"/>
      <c r="V277" s="5"/>
      <c r="W277" s="5"/>
      <c r="X277" s="5"/>
      <c r="Y277" s="5"/>
      <c r="Z277" s="5"/>
    </row>
    <row r="278" customFormat="false" ht="13.5" hidden="false" customHeight="true" outlineLevel="0" collapsed="false">
      <c r="A278" s="39"/>
      <c r="B278" s="5"/>
      <c r="C278" s="5"/>
      <c r="D278" s="7"/>
      <c r="E278" s="7"/>
      <c r="F278" s="7"/>
      <c r="G278" s="7"/>
      <c r="H278" s="5"/>
      <c r="I278" s="5"/>
      <c r="J278" s="5"/>
      <c r="K278" s="5"/>
      <c r="L278" s="5"/>
      <c r="M278" s="5"/>
      <c r="N278" s="5"/>
      <c r="O278" s="5"/>
      <c r="P278" s="5"/>
      <c r="Q278" s="5"/>
      <c r="R278" s="5"/>
      <c r="S278" s="5"/>
      <c r="T278" s="5"/>
      <c r="U278" s="5"/>
      <c r="V278" s="5"/>
      <c r="W278" s="5"/>
      <c r="X278" s="5"/>
      <c r="Y278" s="5"/>
      <c r="Z278" s="5"/>
    </row>
    <row r="279" customFormat="false" ht="13.5" hidden="false" customHeight="true" outlineLevel="0" collapsed="false">
      <c r="A279" s="39"/>
      <c r="B279" s="5"/>
      <c r="C279" s="5"/>
      <c r="D279" s="7"/>
      <c r="E279" s="7"/>
      <c r="F279" s="7"/>
      <c r="G279" s="7"/>
      <c r="H279" s="5"/>
      <c r="I279" s="5"/>
      <c r="J279" s="5"/>
      <c r="K279" s="5"/>
      <c r="L279" s="5"/>
      <c r="M279" s="5"/>
      <c r="N279" s="5"/>
      <c r="O279" s="5"/>
      <c r="P279" s="5"/>
      <c r="Q279" s="5"/>
      <c r="R279" s="5"/>
      <c r="S279" s="5"/>
      <c r="T279" s="5"/>
      <c r="U279" s="5"/>
      <c r="V279" s="5"/>
      <c r="W279" s="5"/>
      <c r="X279" s="5"/>
      <c r="Y279" s="5"/>
      <c r="Z279" s="5"/>
    </row>
    <row r="280" customFormat="false" ht="13.5" hidden="false" customHeight="true" outlineLevel="0" collapsed="false">
      <c r="A280" s="39"/>
      <c r="B280" s="5"/>
      <c r="C280" s="5"/>
      <c r="D280" s="7"/>
      <c r="E280" s="7"/>
      <c r="F280" s="7"/>
      <c r="G280" s="7"/>
      <c r="H280" s="5"/>
      <c r="I280" s="5"/>
      <c r="J280" s="5"/>
      <c r="K280" s="5"/>
      <c r="L280" s="5"/>
      <c r="M280" s="5"/>
      <c r="N280" s="5"/>
      <c r="O280" s="5"/>
      <c r="P280" s="5"/>
      <c r="Q280" s="5"/>
      <c r="R280" s="5"/>
      <c r="S280" s="5"/>
      <c r="T280" s="5"/>
      <c r="U280" s="5"/>
      <c r="V280" s="5"/>
      <c r="W280" s="5"/>
      <c r="X280" s="5"/>
      <c r="Y280" s="5"/>
      <c r="Z280" s="5"/>
    </row>
    <row r="281" customFormat="false" ht="13.5" hidden="false" customHeight="true" outlineLevel="0" collapsed="false">
      <c r="A281" s="39"/>
      <c r="B281" s="5"/>
      <c r="C281" s="5"/>
      <c r="D281" s="7"/>
      <c r="E281" s="7"/>
      <c r="F281" s="7"/>
      <c r="G281" s="7"/>
      <c r="H281" s="5"/>
      <c r="I281" s="5"/>
      <c r="J281" s="5"/>
      <c r="K281" s="5"/>
      <c r="L281" s="5"/>
      <c r="M281" s="5"/>
      <c r="N281" s="5"/>
      <c r="O281" s="5"/>
      <c r="P281" s="5"/>
      <c r="Q281" s="5"/>
      <c r="R281" s="5"/>
      <c r="S281" s="5"/>
      <c r="T281" s="5"/>
      <c r="U281" s="5"/>
      <c r="V281" s="5"/>
      <c r="W281" s="5"/>
      <c r="X281" s="5"/>
      <c r="Y281" s="5"/>
      <c r="Z281" s="5"/>
    </row>
    <row r="282" customFormat="false" ht="13.5" hidden="false" customHeight="true" outlineLevel="0" collapsed="false">
      <c r="A282" s="39"/>
      <c r="B282" s="5"/>
      <c r="C282" s="5"/>
      <c r="D282" s="7"/>
      <c r="E282" s="7"/>
      <c r="F282" s="7"/>
      <c r="G282" s="7"/>
      <c r="H282" s="5"/>
      <c r="I282" s="5"/>
      <c r="J282" s="5"/>
      <c r="K282" s="5"/>
      <c r="L282" s="5"/>
      <c r="M282" s="5"/>
      <c r="N282" s="5"/>
      <c r="O282" s="5"/>
      <c r="P282" s="5"/>
      <c r="Q282" s="5"/>
      <c r="R282" s="5"/>
      <c r="S282" s="5"/>
      <c r="T282" s="5"/>
      <c r="U282" s="5"/>
      <c r="V282" s="5"/>
      <c r="W282" s="5"/>
      <c r="X282" s="5"/>
      <c r="Y282" s="5"/>
      <c r="Z282" s="5"/>
    </row>
    <row r="283" customFormat="false" ht="13.5" hidden="false" customHeight="true" outlineLevel="0" collapsed="false">
      <c r="A283" s="39"/>
      <c r="B283" s="5"/>
      <c r="C283" s="5"/>
      <c r="D283" s="7"/>
      <c r="E283" s="7"/>
      <c r="F283" s="7"/>
      <c r="G283" s="7"/>
      <c r="H283" s="5"/>
      <c r="I283" s="5"/>
      <c r="J283" s="5"/>
      <c r="K283" s="5"/>
      <c r="L283" s="5"/>
      <c r="M283" s="5"/>
      <c r="N283" s="5"/>
      <c r="O283" s="5"/>
      <c r="P283" s="5"/>
      <c r="Q283" s="5"/>
      <c r="R283" s="5"/>
      <c r="S283" s="5"/>
      <c r="T283" s="5"/>
      <c r="U283" s="5"/>
      <c r="V283" s="5"/>
      <c r="W283" s="5"/>
      <c r="X283" s="5"/>
      <c r="Y283" s="5"/>
      <c r="Z283" s="5"/>
    </row>
    <row r="284" customFormat="false" ht="13.5" hidden="false" customHeight="true" outlineLevel="0" collapsed="false">
      <c r="A284" s="39"/>
      <c r="B284" s="5"/>
      <c r="C284" s="5"/>
      <c r="D284" s="7"/>
      <c r="E284" s="7"/>
      <c r="F284" s="7"/>
      <c r="G284" s="7"/>
      <c r="H284" s="5"/>
      <c r="I284" s="5"/>
      <c r="J284" s="5"/>
      <c r="K284" s="5"/>
      <c r="L284" s="5"/>
      <c r="M284" s="5"/>
      <c r="N284" s="5"/>
      <c r="O284" s="5"/>
      <c r="P284" s="5"/>
      <c r="Q284" s="5"/>
      <c r="R284" s="5"/>
      <c r="S284" s="5"/>
      <c r="T284" s="5"/>
      <c r="U284" s="5"/>
      <c r="V284" s="5"/>
      <c r="W284" s="5"/>
      <c r="X284" s="5"/>
      <c r="Y284" s="5"/>
      <c r="Z284" s="5"/>
    </row>
    <row r="285" customFormat="false" ht="13.5" hidden="false" customHeight="true" outlineLevel="0" collapsed="false">
      <c r="A285" s="39"/>
      <c r="B285" s="5"/>
      <c r="C285" s="5"/>
      <c r="D285" s="7"/>
      <c r="E285" s="7"/>
      <c r="F285" s="7"/>
      <c r="G285" s="7"/>
      <c r="H285" s="5"/>
      <c r="I285" s="5"/>
      <c r="J285" s="5"/>
      <c r="K285" s="5"/>
      <c r="L285" s="5"/>
      <c r="M285" s="5"/>
      <c r="N285" s="5"/>
      <c r="O285" s="5"/>
      <c r="P285" s="5"/>
      <c r="Q285" s="5"/>
      <c r="R285" s="5"/>
      <c r="S285" s="5"/>
      <c r="T285" s="5"/>
      <c r="U285" s="5"/>
      <c r="V285" s="5"/>
      <c r="W285" s="5"/>
      <c r="X285" s="5"/>
      <c r="Y285" s="5"/>
      <c r="Z285" s="5"/>
    </row>
    <row r="286" customFormat="false" ht="13.5" hidden="false" customHeight="true" outlineLevel="0" collapsed="false">
      <c r="A286" s="39"/>
      <c r="B286" s="5"/>
      <c r="C286" s="5"/>
      <c r="D286" s="7"/>
      <c r="E286" s="7"/>
      <c r="F286" s="7"/>
      <c r="G286" s="7"/>
      <c r="H286" s="5"/>
      <c r="I286" s="5"/>
      <c r="J286" s="5"/>
      <c r="K286" s="5"/>
      <c r="L286" s="5"/>
      <c r="M286" s="5"/>
      <c r="N286" s="5"/>
      <c r="O286" s="5"/>
      <c r="P286" s="5"/>
      <c r="Q286" s="5"/>
      <c r="R286" s="5"/>
      <c r="S286" s="5"/>
      <c r="T286" s="5"/>
      <c r="U286" s="5"/>
      <c r="V286" s="5"/>
      <c r="W286" s="5"/>
      <c r="X286" s="5"/>
      <c r="Y286" s="5"/>
      <c r="Z286" s="5"/>
    </row>
    <row r="287" customFormat="false" ht="13.5" hidden="false" customHeight="true" outlineLevel="0" collapsed="false">
      <c r="A287" s="39"/>
      <c r="B287" s="5"/>
      <c r="C287" s="5"/>
      <c r="D287" s="7"/>
      <c r="E287" s="7"/>
      <c r="F287" s="7"/>
      <c r="G287" s="7"/>
      <c r="H287" s="5"/>
      <c r="I287" s="5"/>
      <c r="J287" s="5"/>
      <c r="K287" s="5"/>
      <c r="L287" s="5"/>
      <c r="M287" s="5"/>
      <c r="N287" s="5"/>
      <c r="O287" s="5"/>
      <c r="P287" s="5"/>
      <c r="Q287" s="5"/>
      <c r="R287" s="5"/>
      <c r="S287" s="5"/>
      <c r="T287" s="5"/>
      <c r="U287" s="5"/>
      <c r="V287" s="5"/>
      <c r="W287" s="5"/>
      <c r="X287" s="5"/>
      <c r="Y287" s="5"/>
      <c r="Z287" s="5"/>
    </row>
    <row r="288" customFormat="false" ht="13.5" hidden="false" customHeight="true" outlineLevel="0" collapsed="false">
      <c r="A288" s="39"/>
      <c r="B288" s="5"/>
      <c r="C288" s="5"/>
      <c r="D288" s="7"/>
      <c r="E288" s="7"/>
      <c r="F288" s="7"/>
      <c r="G288" s="7"/>
      <c r="H288" s="5"/>
      <c r="I288" s="5"/>
      <c r="J288" s="5"/>
      <c r="K288" s="5"/>
      <c r="L288" s="5"/>
      <c r="M288" s="5"/>
      <c r="N288" s="5"/>
      <c r="O288" s="5"/>
      <c r="P288" s="5"/>
      <c r="Q288" s="5"/>
      <c r="R288" s="5"/>
      <c r="S288" s="5"/>
      <c r="T288" s="5"/>
      <c r="U288" s="5"/>
      <c r="V288" s="5"/>
      <c r="W288" s="5"/>
      <c r="X288" s="5"/>
      <c r="Y288" s="5"/>
      <c r="Z288" s="5"/>
    </row>
    <row r="289" customFormat="false" ht="13.5" hidden="false" customHeight="true" outlineLevel="0" collapsed="false">
      <c r="A289" s="39"/>
      <c r="B289" s="5"/>
      <c r="C289" s="5"/>
      <c r="D289" s="7"/>
      <c r="E289" s="7"/>
      <c r="F289" s="7"/>
      <c r="G289" s="7"/>
      <c r="H289" s="5"/>
      <c r="I289" s="5"/>
      <c r="J289" s="5"/>
      <c r="K289" s="5"/>
      <c r="L289" s="5"/>
      <c r="M289" s="5"/>
      <c r="N289" s="5"/>
      <c r="O289" s="5"/>
      <c r="P289" s="5"/>
      <c r="Q289" s="5"/>
      <c r="R289" s="5"/>
      <c r="S289" s="5"/>
      <c r="T289" s="5"/>
      <c r="U289" s="5"/>
      <c r="V289" s="5"/>
      <c r="W289" s="5"/>
      <c r="X289" s="5"/>
      <c r="Y289" s="5"/>
      <c r="Z289" s="5"/>
    </row>
    <row r="290" customFormat="false" ht="13.5" hidden="false" customHeight="true" outlineLevel="0" collapsed="false">
      <c r="A290" s="39"/>
      <c r="B290" s="5"/>
      <c r="C290" s="5"/>
      <c r="D290" s="7"/>
      <c r="E290" s="7"/>
      <c r="F290" s="7"/>
      <c r="G290" s="7"/>
      <c r="H290" s="5"/>
      <c r="I290" s="5"/>
      <c r="J290" s="5"/>
      <c r="K290" s="5"/>
      <c r="L290" s="5"/>
      <c r="M290" s="5"/>
      <c r="N290" s="5"/>
      <c r="O290" s="5"/>
      <c r="P290" s="5"/>
      <c r="Q290" s="5"/>
      <c r="R290" s="5"/>
      <c r="S290" s="5"/>
      <c r="T290" s="5"/>
      <c r="U290" s="5"/>
      <c r="V290" s="5"/>
      <c r="W290" s="5"/>
      <c r="X290" s="5"/>
      <c r="Y290" s="5"/>
      <c r="Z290" s="5"/>
    </row>
    <row r="291" customFormat="false" ht="13.5" hidden="false" customHeight="true" outlineLevel="0" collapsed="false">
      <c r="A291" s="39"/>
      <c r="B291" s="5"/>
      <c r="C291" s="5"/>
      <c r="D291" s="7"/>
      <c r="E291" s="7"/>
      <c r="F291" s="7"/>
      <c r="G291" s="7"/>
      <c r="H291" s="5"/>
      <c r="I291" s="5"/>
      <c r="J291" s="5"/>
      <c r="K291" s="5"/>
      <c r="L291" s="5"/>
      <c r="M291" s="5"/>
      <c r="N291" s="5"/>
      <c r="O291" s="5"/>
      <c r="P291" s="5"/>
      <c r="Q291" s="5"/>
      <c r="R291" s="5"/>
      <c r="S291" s="5"/>
      <c r="T291" s="5"/>
      <c r="U291" s="5"/>
      <c r="V291" s="5"/>
      <c r="W291" s="5"/>
      <c r="X291" s="5"/>
      <c r="Y291" s="5"/>
      <c r="Z291" s="5"/>
    </row>
    <row r="292" customFormat="false" ht="13.5" hidden="false" customHeight="true" outlineLevel="0" collapsed="false">
      <c r="A292" s="39"/>
      <c r="B292" s="5"/>
      <c r="C292" s="5"/>
      <c r="D292" s="7"/>
      <c r="E292" s="7"/>
      <c r="F292" s="7"/>
      <c r="G292" s="7"/>
      <c r="H292" s="5"/>
      <c r="I292" s="5"/>
      <c r="J292" s="5"/>
      <c r="K292" s="5"/>
      <c r="L292" s="5"/>
      <c r="M292" s="5"/>
      <c r="N292" s="5"/>
      <c r="O292" s="5"/>
      <c r="P292" s="5"/>
      <c r="Q292" s="5"/>
      <c r="R292" s="5"/>
      <c r="S292" s="5"/>
      <c r="T292" s="5"/>
      <c r="U292" s="5"/>
      <c r="V292" s="5"/>
      <c r="W292" s="5"/>
      <c r="X292" s="5"/>
      <c r="Y292" s="5"/>
      <c r="Z292" s="5"/>
    </row>
    <row r="293" customFormat="false" ht="13.5" hidden="false" customHeight="true" outlineLevel="0" collapsed="false">
      <c r="A293" s="39"/>
      <c r="B293" s="5"/>
      <c r="C293" s="5"/>
      <c r="D293" s="7"/>
      <c r="E293" s="7"/>
      <c r="F293" s="7"/>
      <c r="G293" s="7"/>
      <c r="H293" s="5"/>
      <c r="I293" s="5"/>
      <c r="J293" s="5"/>
      <c r="K293" s="5"/>
      <c r="L293" s="5"/>
      <c r="M293" s="5"/>
      <c r="N293" s="5"/>
      <c r="O293" s="5"/>
      <c r="P293" s="5"/>
      <c r="Q293" s="5"/>
      <c r="R293" s="5"/>
      <c r="S293" s="5"/>
      <c r="T293" s="5"/>
      <c r="U293" s="5"/>
      <c r="V293" s="5"/>
      <c r="W293" s="5"/>
      <c r="X293" s="5"/>
      <c r="Y293" s="5"/>
      <c r="Z293" s="5"/>
    </row>
    <row r="294" customFormat="false" ht="13.5" hidden="false" customHeight="true" outlineLevel="0" collapsed="false">
      <c r="A294" s="39"/>
      <c r="B294" s="5"/>
      <c r="C294" s="5"/>
      <c r="D294" s="7"/>
      <c r="E294" s="7"/>
      <c r="F294" s="7"/>
      <c r="G294" s="7"/>
      <c r="H294" s="5"/>
      <c r="I294" s="5"/>
      <c r="J294" s="5"/>
      <c r="K294" s="5"/>
      <c r="L294" s="5"/>
      <c r="M294" s="5"/>
      <c r="N294" s="5"/>
      <c r="O294" s="5"/>
      <c r="P294" s="5"/>
      <c r="Q294" s="5"/>
      <c r="R294" s="5"/>
      <c r="S294" s="5"/>
      <c r="T294" s="5"/>
      <c r="U294" s="5"/>
      <c r="V294" s="5"/>
      <c r="W294" s="5"/>
      <c r="X294" s="5"/>
      <c r="Y294" s="5"/>
      <c r="Z294" s="5"/>
    </row>
    <row r="295" customFormat="false" ht="13.5" hidden="false" customHeight="true" outlineLevel="0" collapsed="false">
      <c r="A295" s="39"/>
      <c r="B295" s="5"/>
      <c r="C295" s="5"/>
      <c r="D295" s="7"/>
      <c r="E295" s="7"/>
      <c r="F295" s="7"/>
      <c r="G295" s="7"/>
      <c r="H295" s="5"/>
      <c r="I295" s="5"/>
      <c r="J295" s="5"/>
      <c r="K295" s="5"/>
      <c r="L295" s="5"/>
      <c r="M295" s="5"/>
      <c r="N295" s="5"/>
      <c r="O295" s="5"/>
      <c r="P295" s="5"/>
      <c r="Q295" s="5"/>
      <c r="R295" s="5"/>
      <c r="S295" s="5"/>
      <c r="T295" s="5"/>
      <c r="U295" s="5"/>
      <c r="V295" s="5"/>
      <c r="W295" s="5"/>
      <c r="X295" s="5"/>
      <c r="Y295" s="5"/>
      <c r="Z295" s="5"/>
    </row>
    <row r="296" customFormat="false" ht="13.5" hidden="false" customHeight="true" outlineLevel="0" collapsed="false">
      <c r="A296" s="39"/>
      <c r="B296" s="5"/>
      <c r="C296" s="5"/>
      <c r="D296" s="7"/>
      <c r="E296" s="7"/>
      <c r="F296" s="7"/>
      <c r="G296" s="7"/>
      <c r="H296" s="5"/>
      <c r="I296" s="5"/>
      <c r="J296" s="5"/>
      <c r="K296" s="5"/>
      <c r="L296" s="5"/>
      <c r="M296" s="5"/>
      <c r="N296" s="5"/>
      <c r="O296" s="5"/>
      <c r="P296" s="5"/>
      <c r="Q296" s="5"/>
      <c r="R296" s="5"/>
      <c r="S296" s="5"/>
      <c r="T296" s="5"/>
      <c r="U296" s="5"/>
      <c r="V296" s="5"/>
      <c r="W296" s="5"/>
      <c r="X296" s="5"/>
      <c r="Y296" s="5"/>
      <c r="Z296" s="5"/>
    </row>
    <row r="297" customFormat="false" ht="13.5" hidden="false" customHeight="true" outlineLevel="0" collapsed="false">
      <c r="A297" s="39"/>
      <c r="B297" s="5"/>
      <c r="C297" s="5"/>
      <c r="D297" s="7"/>
      <c r="E297" s="7"/>
      <c r="F297" s="7"/>
      <c r="G297" s="7"/>
      <c r="H297" s="5"/>
      <c r="I297" s="5"/>
      <c r="J297" s="5"/>
      <c r="K297" s="5"/>
      <c r="L297" s="5"/>
      <c r="M297" s="5"/>
      <c r="N297" s="5"/>
      <c r="O297" s="5"/>
      <c r="P297" s="5"/>
      <c r="Q297" s="5"/>
      <c r="R297" s="5"/>
      <c r="S297" s="5"/>
      <c r="T297" s="5"/>
      <c r="U297" s="5"/>
      <c r="V297" s="5"/>
      <c r="W297" s="5"/>
      <c r="X297" s="5"/>
      <c r="Y297" s="5"/>
      <c r="Z297" s="5"/>
    </row>
    <row r="298" customFormat="false" ht="13.5" hidden="false" customHeight="true" outlineLevel="0" collapsed="false">
      <c r="A298" s="39"/>
      <c r="B298" s="5"/>
      <c r="C298" s="5"/>
      <c r="D298" s="7"/>
      <c r="E298" s="7"/>
      <c r="F298" s="7"/>
      <c r="G298" s="7"/>
      <c r="H298" s="5"/>
      <c r="I298" s="5"/>
      <c r="J298" s="5"/>
      <c r="K298" s="5"/>
      <c r="L298" s="5"/>
      <c r="M298" s="5"/>
      <c r="N298" s="5"/>
      <c r="O298" s="5"/>
      <c r="P298" s="5"/>
      <c r="Q298" s="5"/>
      <c r="R298" s="5"/>
      <c r="S298" s="5"/>
      <c r="T298" s="5"/>
      <c r="U298" s="5"/>
      <c r="V298" s="5"/>
      <c r="W298" s="5"/>
      <c r="X298" s="5"/>
      <c r="Y298" s="5"/>
      <c r="Z298" s="5"/>
    </row>
    <row r="299" customFormat="false" ht="13.5" hidden="false" customHeight="true" outlineLevel="0" collapsed="false">
      <c r="A299" s="39"/>
      <c r="B299" s="5"/>
      <c r="C299" s="5"/>
      <c r="D299" s="7"/>
      <c r="E299" s="7"/>
      <c r="F299" s="7"/>
      <c r="G299" s="7"/>
      <c r="H299" s="5"/>
      <c r="I299" s="5"/>
      <c r="J299" s="5"/>
      <c r="K299" s="5"/>
      <c r="L299" s="5"/>
      <c r="M299" s="5"/>
      <c r="N299" s="5"/>
      <c r="O299" s="5"/>
      <c r="P299" s="5"/>
      <c r="Q299" s="5"/>
      <c r="R299" s="5"/>
      <c r="S299" s="5"/>
      <c r="T299" s="5"/>
      <c r="U299" s="5"/>
      <c r="V299" s="5"/>
      <c r="W299" s="5"/>
      <c r="X299" s="5"/>
      <c r="Y299" s="5"/>
      <c r="Z299" s="5"/>
    </row>
    <row r="300" customFormat="false" ht="13.5" hidden="false" customHeight="true" outlineLevel="0" collapsed="false">
      <c r="A300" s="39"/>
      <c r="B300" s="5"/>
      <c r="C300" s="5"/>
      <c r="D300" s="7"/>
      <c r="E300" s="7"/>
      <c r="F300" s="7"/>
      <c r="G300" s="7"/>
      <c r="H300" s="5"/>
      <c r="I300" s="5"/>
      <c r="J300" s="5"/>
      <c r="K300" s="5"/>
      <c r="L300" s="5"/>
      <c r="M300" s="5"/>
      <c r="N300" s="5"/>
      <c r="O300" s="5"/>
      <c r="P300" s="5"/>
      <c r="Q300" s="5"/>
      <c r="R300" s="5"/>
      <c r="S300" s="5"/>
      <c r="T300" s="5"/>
      <c r="U300" s="5"/>
      <c r="V300" s="5"/>
      <c r="W300" s="5"/>
      <c r="X300" s="5"/>
      <c r="Y300" s="5"/>
      <c r="Z300" s="5"/>
    </row>
    <row r="301" customFormat="false" ht="13.5" hidden="false" customHeight="true" outlineLevel="0" collapsed="false">
      <c r="A301" s="39"/>
      <c r="B301" s="5"/>
      <c r="C301" s="5"/>
      <c r="D301" s="7"/>
      <c r="E301" s="7"/>
      <c r="F301" s="7"/>
      <c r="G301" s="7"/>
      <c r="H301" s="5"/>
      <c r="I301" s="5"/>
      <c r="J301" s="5"/>
      <c r="K301" s="5"/>
      <c r="L301" s="5"/>
      <c r="M301" s="5"/>
      <c r="N301" s="5"/>
      <c r="O301" s="5"/>
      <c r="P301" s="5"/>
      <c r="Q301" s="5"/>
      <c r="R301" s="5"/>
      <c r="S301" s="5"/>
      <c r="T301" s="5"/>
      <c r="U301" s="5"/>
      <c r="V301" s="5"/>
      <c r="W301" s="5"/>
      <c r="X301" s="5"/>
      <c r="Y301" s="5"/>
      <c r="Z301" s="5"/>
    </row>
    <row r="302" customFormat="false" ht="13.5" hidden="false" customHeight="true" outlineLevel="0" collapsed="false">
      <c r="A302" s="39"/>
      <c r="B302" s="5"/>
      <c r="C302" s="5"/>
      <c r="D302" s="7"/>
      <c r="E302" s="7"/>
      <c r="F302" s="7"/>
      <c r="G302" s="7"/>
      <c r="H302" s="5"/>
      <c r="I302" s="5"/>
      <c r="J302" s="5"/>
      <c r="K302" s="5"/>
      <c r="L302" s="5"/>
      <c r="M302" s="5"/>
      <c r="N302" s="5"/>
      <c r="O302" s="5"/>
      <c r="P302" s="5"/>
      <c r="Q302" s="5"/>
      <c r="R302" s="5"/>
      <c r="S302" s="5"/>
      <c r="T302" s="5"/>
      <c r="U302" s="5"/>
      <c r="V302" s="5"/>
      <c r="W302" s="5"/>
      <c r="X302" s="5"/>
      <c r="Y302" s="5"/>
      <c r="Z302" s="5"/>
    </row>
    <row r="303" customFormat="false" ht="13.5" hidden="false" customHeight="true" outlineLevel="0" collapsed="false">
      <c r="A303" s="39"/>
      <c r="B303" s="5"/>
      <c r="C303" s="5"/>
      <c r="D303" s="7"/>
      <c r="E303" s="7"/>
      <c r="F303" s="7"/>
      <c r="G303" s="7"/>
      <c r="H303" s="5"/>
      <c r="I303" s="5"/>
      <c r="J303" s="5"/>
      <c r="K303" s="5"/>
      <c r="L303" s="5"/>
      <c r="M303" s="5"/>
      <c r="N303" s="5"/>
      <c r="O303" s="5"/>
      <c r="P303" s="5"/>
      <c r="Q303" s="5"/>
      <c r="R303" s="5"/>
      <c r="S303" s="5"/>
      <c r="T303" s="5"/>
      <c r="U303" s="5"/>
      <c r="V303" s="5"/>
      <c r="W303" s="5"/>
      <c r="X303" s="5"/>
      <c r="Y303" s="5"/>
      <c r="Z303" s="5"/>
    </row>
    <row r="304" customFormat="false" ht="13.5" hidden="false" customHeight="true" outlineLevel="0" collapsed="false">
      <c r="A304" s="39"/>
      <c r="B304" s="5"/>
      <c r="C304" s="5"/>
      <c r="D304" s="7"/>
      <c r="E304" s="7"/>
      <c r="F304" s="7"/>
      <c r="G304" s="7"/>
      <c r="H304" s="5"/>
      <c r="I304" s="5"/>
      <c r="J304" s="5"/>
      <c r="K304" s="5"/>
      <c r="L304" s="5"/>
      <c r="M304" s="5"/>
      <c r="N304" s="5"/>
      <c r="O304" s="5"/>
      <c r="P304" s="5"/>
      <c r="Q304" s="5"/>
      <c r="R304" s="5"/>
      <c r="S304" s="5"/>
      <c r="T304" s="5"/>
      <c r="U304" s="5"/>
      <c r="V304" s="5"/>
      <c r="W304" s="5"/>
      <c r="X304" s="5"/>
      <c r="Y304" s="5"/>
      <c r="Z304" s="5"/>
    </row>
    <row r="305" customFormat="false" ht="13.5" hidden="false" customHeight="true" outlineLevel="0" collapsed="false">
      <c r="A305" s="39"/>
      <c r="B305" s="5"/>
      <c r="C305" s="5"/>
      <c r="D305" s="7"/>
      <c r="E305" s="7"/>
      <c r="F305" s="7"/>
      <c r="G305" s="7"/>
      <c r="H305" s="5"/>
      <c r="I305" s="5"/>
      <c r="J305" s="5"/>
      <c r="K305" s="5"/>
      <c r="L305" s="5"/>
      <c r="M305" s="5"/>
      <c r="N305" s="5"/>
      <c r="O305" s="5"/>
      <c r="P305" s="5"/>
      <c r="Q305" s="5"/>
      <c r="R305" s="5"/>
      <c r="S305" s="5"/>
      <c r="T305" s="5"/>
      <c r="U305" s="5"/>
      <c r="V305" s="5"/>
      <c r="W305" s="5"/>
      <c r="X305" s="5"/>
      <c r="Y305" s="5"/>
      <c r="Z305" s="5"/>
    </row>
    <row r="306" customFormat="false" ht="13.5" hidden="false" customHeight="true" outlineLevel="0" collapsed="false">
      <c r="A306" s="39"/>
      <c r="B306" s="5"/>
      <c r="C306" s="5"/>
      <c r="D306" s="7"/>
      <c r="E306" s="7"/>
      <c r="F306" s="7"/>
      <c r="G306" s="7"/>
      <c r="H306" s="5"/>
      <c r="I306" s="5"/>
      <c r="J306" s="5"/>
      <c r="K306" s="5"/>
      <c r="L306" s="5"/>
      <c r="M306" s="5"/>
      <c r="N306" s="5"/>
      <c r="O306" s="5"/>
      <c r="P306" s="5"/>
      <c r="Q306" s="5"/>
      <c r="R306" s="5"/>
      <c r="S306" s="5"/>
      <c r="T306" s="5"/>
      <c r="U306" s="5"/>
      <c r="V306" s="5"/>
      <c r="W306" s="5"/>
      <c r="X306" s="5"/>
      <c r="Y306" s="5"/>
      <c r="Z306" s="5"/>
    </row>
    <row r="307" customFormat="false" ht="13.5" hidden="false" customHeight="true" outlineLevel="0" collapsed="false">
      <c r="A307" s="39"/>
      <c r="B307" s="5"/>
      <c r="C307" s="5"/>
      <c r="D307" s="7"/>
      <c r="E307" s="7"/>
      <c r="F307" s="7"/>
      <c r="G307" s="7"/>
      <c r="H307" s="5"/>
      <c r="I307" s="5"/>
      <c r="J307" s="5"/>
      <c r="K307" s="5"/>
      <c r="L307" s="5"/>
      <c r="M307" s="5"/>
      <c r="N307" s="5"/>
      <c r="O307" s="5"/>
      <c r="P307" s="5"/>
      <c r="Q307" s="5"/>
      <c r="R307" s="5"/>
      <c r="S307" s="5"/>
      <c r="T307" s="5"/>
      <c r="U307" s="5"/>
      <c r="V307" s="5"/>
      <c r="W307" s="5"/>
      <c r="X307" s="5"/>
      <c r="Y307" s="5"/>
      <c r="Z307" s="5"/>
    </row>
    <row r="308" customFormat="false" ht="13.5" hidden="false" customHeight="true" outlineLevel="0" collapsed="false">
      <c r="A308" s="39"/>
      <c r="B308" s="5"/>
      <c r="C308" s="5"/>
      <c r="D308" s="7"/>
      <c r="E308" s="7"/>
      <c r="F308" s="7"/>
      <c r="G308" s="7"/>
      <c r="H308" s="5"/>
      <c r="I308" s="5"/>
      <c r="J308" s="5"/>
      <c r="K308" s="5"/>
      <c r="L308" s="5"/>
      <c r="M308" s="5"/>
      <c r="N308" s="5"/>
      <c r="O308" s="5"/>
      <c r="P308" s="5"/>
      <c r="Q308" s="5"/>
      <c r="R308" s="5"/>
      <c r="S308" s="5"/>
      <c r="T308" s="5"/>
      <c r="U308" s="5"/>
      <c r="V308" s="5"/>
      <c r="W308" s="5"/>
      <c r="X308" s="5"/>
      <c r="Y308" s="5"/>
      <c r="Z308" s="5"/>
    </row>
    <row r="309" customFormat="false" ht="13.5" hidden="false" customHeight="true" outlineLevel="0" collapsed="false">
      <c r="A309" s="39"/>
      <c r="B309" s="5"/>
      <c r="C309" s="5"/>
      <c r="D309" s="7"/>
      <c r="E309" s="7"/>
      <c r="F309" s="7"/>
      <c r="G309" s="7"/>
      <c r="H309" s="5"/>
      <c r="I309" s="5"/>
      <c r="J309" s="5"/>
      <c r="K309" s="5"/>
      <c r="L309" s="5"/>
      <c r="M309" s="5"/>
      <c r="N309" s="5"/>
      <c r="O309" s="5"/>
      <c r="P309" s="5"/>
      <c r="Q309" s="5"/>
      <c r="R309" s="5"/>
      <c r="S309" s="5"/>
      <c r="T309" s="5"/>
      <c r="U309" s="5"/>
      <c r="V309" s="5"/>
      <c r="W309" s="5"/>
      <c r="X309" s="5"/>
      <c r="Y309" s="5"/>
      <c r="Z309" s="5"/>
    </row>
    <row r="310" customFormat="false" ht="13.5" hidden="false" customHeight="true" outlineLevel="0" collapsed="false">
      <c r="A310" s="39"/>
      <c r="B310" s="5"/>
      <c r="C310" s="5"/>
      <c r="D310" s="7"/>
      <c r="E310" s="7"/>
      <c r="F310" s="7"/>
      <c r="G310" s="7"/>
      <c r="H310" s="5"/>
      <c r="I310" s="5"/>
      <c r="J310" s="5"/>
      <c r="K310" s="5"/>
      <c r="L310" s="5"/>
      <c r="M310" s="5"/>
      <c r="N310" s="5"/>
      <c r="O310" s="5"/>
      <c r="P310" s="5"/>
      <c r="Q310" s="5"/>
      <c r="R310" s="5"/>
      <c r="S310" s="5"/>
      <c r="T310" s="5"/>
      <c r="U310" s="5"/>
      <c r="V310" s="5"/>
      <c r="W310" s="5"/>
      <c r="X310" s="5"/>
      <c r="Y310" s="5"/>
      <c r="Z310" s="5"/>
    </row>
    <row r="311" customFormat="false" ht="13.5" hidden="false" customHeight="true" outlineLevel="0" collapsed="false">
      <c r="A311" s="39"/>
      <c r="B311" s="5"/>
      <c r="C311" s="5"/>
      <c r="D311" s="7"/>
      <c r="E311" s="7"/>
      <c r="F311" s="7"/>
      <c r="G311" s="7"/>
      <c r="H311" s="5"/>
      <c r="I311" s="5"/>
      <c r="J311" s="5"/>
      <c r="K311" s="5"/>
      <c r="L311" s="5"/>
      <c r="M311" s="5"/>
      <c r="N311" s="5"/>
      <c r="O311" s="5"/>
      <c r="P311" s="5"/>
      <c r="Q311" s="5"/>
      <c r="R311" s="5"/>
      <c r="S311" s="5"/>
      <c r="T311" s="5"/>
      <c r="U311" s="5"/>
      <c r="V311" s="5"/>
      <c r="W311" s="5"/>
      <c r="X311" s="5"/>
      <c r="Y311" s="5"/>
      <c r="Z311" s="5"/>
    </row>
    <row r="312" customFormat="false" ht="13.5" hidden="false" customHeight="true" outlineLevel="0" collapsed="false">
      <c r="A312" s="39"/>
      <c r="B312" s="5"/>
      <c r="C312" s="5"/>
      <c r="D312" s="7"/>
      <c r="E312" s="7"/>
      <c r="F312" s="7"/>
      <c r="G312" s="7"/>
      <c r="H312" s="5"/>
      <c r="I312" s="5"/>
      <c r="J312" s="5"/>
      <c r="K312" s="5"/>
      <c r="L312" s="5"/>
      <c r="M312" s="5"/>
      <c r="N312" s="5"/>
      <c r="O312" s="5"/>
      <c r="P312" s="5"/>
      <c r="Q312" s="5"/>
      <c r="R312" s="5"/>
      <c r="S312" s="5"/>
      <c r="T312" s="5"/>
      <c r="U312" s="5"/>
      <c r="V312" s="5"/>
      <c r="W312" s="5"/>
      <c r="X312" s="5"/>
      <c r="Y312" s="5"/>
      <c r="Z312" s="5"/>
    </row>
    <row r="313" customFormat="false" ht="13.5" hidden="false" customHeight="true" outlineLevel="0" collapsed="false">
      <c r="A313" s="39"/>
      <c r="B313" s="5"/>
      <c r="C313" s="5"/>
      <c r="D313" s="7"/>
      <c r="E313" s="7"/>
      <c r="F313" s="7"/>
      <c r="G313" s="7"/>
      <c r="H313" s="5"/>
      <c r="I313" s="5"/>
      <c r="J313" s="5"/>
      <c r="K313" s="5"/>
      <c r="L313" s="5"/>
      <c r="M313" s="5"/>
      <c r="N313" s="5"/>
      <c r="O313" s="5"/>
      <c r="P313" s="5"/>
      <c r="Q313" s="5"/>
      <c r="R313" s="5"/>
      <c r="S313" s="5"/>
      <c r="T313" s="5"/>
      <c r="U313" s="5"/>
      <c r="V313" s="5"/>
      <c r="W313" s="5"/>
      <c r="X313" s="5"/>
      <c r="Y313" s="5"/>
      <c r="Z313" s="5"/>
    </row>
    <row r="314" customFormat="false" ht="13.5" hidden="false" customHeight="true" outlineLevel="0" collapsed="false">
      <c r="A314" s="39"/>
      <c r="B314" s="5"/>
      <c r="C314" s="5"/>
      <c r="D314" s="7"/>
      <c r="E314" s="7"/>
      <c r="F314" s="7"/>
      <c r="G314" s="7"/>
      <c r="H314" s="5"/>
      <c r="I314" s="5"/>
      <c r="J314" s="5"/>
      <c r="K314" s="5"/>
      <c r="L314" s="5"/>
      <c r="M314" s="5"/>
      <c r="N314" s="5"/>
      <c r="O314" s="5"/>
      <c r="P314" s="5"/>
      <c r="Q314" s="5"/>
      <c r="R314" s="5"/>
      <c r="S314" s="5"/>
      <c r="T314" s="5"/>
      <c r="U314" s="5"/>
      <c r="V314" s="5"/>
      <c r="W314" s="5"/>
      <c r="X314" s="5"/>
      <c r="Y314" s="5"/>
      <c r="Z314" s="5"/>
    </row>
    <row r="315" customFormat="false" ht="13.5" hidden="false" customHeight="true" outlineLevel="0" collapsed="false">
      <c r="A315" s="39"/>
      <c r="B315" s="5"/>
      <c r="C315" s="5"/>
      <c r="D315" s="7"/>
      <c r="E315" s="7"/>
      <c r="F315" s="7"/>
      <c r="G315" s="7"/>
      <c r="H315" s="5"/>
      <c r="I315" s="5"/>
      <c r="J315" s="5"/>
      <c r="K315" s="5"/>
      <c r="L315" s="5"/>
      <c r="M315" s="5"/>
      <c r="N315" s="5"/>
      <c r="O315" s="5"/>
      <c r="P315" s="5"/>
      <c r="Q315" s="5"/>
      <c r="R315" s="5"/>
      <c r="S315" s="5"/>
      <c r="T315" s="5"/>
      <c r="U315" s="5"/>
      <c r="V315" s="5"/>
      <c r="W315" s="5"/>
      <c r="X315" s="5"/>
      <c r="Y315" s="5"/>
      <c r="Z315" s="5"/>
    </row>
    <row r="316" customFormat="false" ht="13.5" hidden="false" customHeight="true" outlineLevel="0" collapsed="false">
      <c r="A316" s="39"/>
      <c r="B316" s="5"/>
      <c r="C316" s="5"/>
      <c r="D316" s="7"/>
      <c r="E316" s="7"/>
      <c r="F316" s="7"/>
      <c r="G316" s="7"/>
      <c r="H316" s="5"/>
      <c r="I316" s="5"/>
      <c r="J316" s="5"/>
      <c r="K316" s="5"/>
      <c r="L316" s="5"/>
      <c r="M316" s="5"/>
      <c r="N316" s="5"/>
      <c r="O316" s="5"/>
      <c r="P316" s="5"/>
      <c r="Q316" s="5"/>
      <c r="R316" s="5"/>
      <c r="S316" s="5"/>
      <c r="T316" s="5"/>
      <c r="U316" s="5"/>
      <c r="V316" s="5"/>
      <c r="W316" s="5"/>
      <c r="X316" s="5"/>
      <c r="Y316" s="5"/>
      <c r="Z316" s="5"/>
    </row>
    <row r="317" customFormat="false" ht="13.5" hidden="false" customHeight="true" outlineLevel="0" collapsed="false">
      <c r="A317" s="39"/>
      <c r="B317" s="5"/>
      <c r="C317" s="5"/>
      <c r="D317" s="7"/>
      <c r="E317" s="7"/>
      <c r="F317" s="7"/>
      <c r="G317" s="7"/>
      <c r="H317" s="5"/>
      <c r="I317" s="5"/>
      <c r="J317" s="5"/>
      <c r="K317" s="5"/>
      <c r="L317" s="5"/>
      <c r="M317" s="5"/>
      <c r="N317" s="5"/>
      <c r="O317" s="5"/>
      <c r="P317" s="5"/>
      <c r="Q317" s="5"/>
      <c r="R317" s="5"/>
      <c r="S317" s="5"/>
      <c r="T317" s="5"/>
      <c r="U317" s="5"/>
      <c r="V317" s="5"/>
      <c r="W317" s="5"/>
      <c r="X317" s="5"/>
      <c r="Y317" s="5"/>
      <c r="Z317" s="5"/>
    </row>
    <row r="318" customFormat="false" ht="13.5" hidden="false" customHeight="true" outlineLevel="0" collapsed="false">
      <c r="A318" s="39"/>
      <c r="B318" s="5"/>
      <c r="C318" s="5"/>
      <c r="D318" s="7"/>
      <c r="E318" s="7"/>
      <c r="F318" s="7"/>
      <c r="G318" s="7"/>
      <c r="H318" s="5"/>
      <c r="I318" s="5"/>
      <c r="J318" s="5"/>
      <c r="K318" s="5"/>
      <c r="L318" s="5"/>
      <c r="M318" s="5"/>
      <c r="N318" s="5"/>
      <c r="O318" s="5"/>
      <c r="P318" s="5"/>
      <c r="Q318" s="5"/>
      <c r="R318" s="5"/>
      <c r="S318" s="5"/>
      <c r="T318" s="5"/>
      <c r="U318" s="5"/>
      <c r="V318" s="5"/>
      <c r="W318" s="5"/>
      <c r="X318" s="5"/>
      <c r="Y318" s="5"/>
      <c r="Z318" s="5"/>
    </row>
    <row r="319" customFormat="false" ht="13.5" hidden="false" customHeight="true" outlineLevel="0" collapsed="false">
      <c r="A319" s="39"/>
      <c r="B319" s="5"/>
      <c r="C319" s="5"/>
      <c r="D319" s="7"/>
      <c r="E319" s="7"/>
      <c r="F319" s="7"/>
      <c r="G319" s="7"/>
      <c r="H319" s="5"/>
      <c r="I319" s="5"/>
      <c r="J319" s="5"/>
      <c r="K319" s="5"/>
      <c r="L319" s="5"/>
      <c r="M319" s="5"/>
      <c r="N319" s="5"/>
      <c r="O319" s="5"/>
      <c r="P319" s="5"/>
      <c r="Q319" s="5"/>
      <c r="R319" s="5"/>
      <c r="S319" s="5"/>
      <c r="T319" s="5"/>
      <c r="U319" s="5"/>
      <c r="V319" s="5"/>
      <c r="W319" s="5"/>
      <c r="X319" s="5"/>
      <c r="Y319" s="5"/>
      <c r="Z319" s="5"/>
    </row>
    <row r="320" customFormat="false" ht="13.5" hidden="false" customHeight="true" outlineLevel="0" collapsed="false">
      <c r="A320" s="39"/>
      <c r="B320" s="5"/>
      <c r="C320" s="5"/>
      <c r="D320" s="7"/>
      <c r="E320" s="7"/>
      <c r="F320" s="7"/>
      <c r="G320" s="7"/>
      <c r="H320" s="5"/>
      <c r="I320" s="5"/>
      <c r="J320" s="5"/>
      <c r="K320" s="5"/>
      <c r="L320" s="5"/>
      <c r="M320" s="5"/>
      <c r="N320" s="5"/>
      <c r="O320" s="5"/>
      <c r="P320" s="5"/>
      <c r="Q320" s="5"/>
      <c r="R320" s="5"/>
      <c r="S320" s="5"/>
      <c r="T320" s="5"/>
      <c r="U320" s="5"/>
      <c r="V320" s="5"/>
      <c r="W320" s="5"/>
      <c r="X320" s="5"/>
      <c r="Y320" s="5"/>
      <c r="Z320" s="5"/>
    </row>
    <row r="321" customFormat="false" ht="13.5" hidden="false" customHeight="true" outlineLevel="0" collapsed="false">
      <c r="A321" s="39"/>
      <c r="B321" s="5"/>
      <c r="C321" s="5"/>
      <c r="D321" s="7"/>
      <c r="E321" s="7"/>
      <c r="F321" s="7"/>
      <c r="G321" s="7"/>
      <c r="H321" s="5"/>
      <c r="I321" s="5"/>
      <c r="J321" s="5"/>
      <c r="K321" s="5"/>
      <c r="L321" s="5"/>
      <c r="M321" s="5"/>
      <c r="N321" s="5"/>
      <c r="O321" s="5"/>
      <c r="P321" s="5"/>
      <c r="Q321" s="5"/>
      <c r="R321" s="5"/>
      <c r="S321" s="5"/>
      <c r="T321" s="5"/>
      <c r="U321" s="5"/>
      <c r="V321" s="5"/>
      <c r="W321" s="5"/>
      <c r="X321" s="5"/>
      <c r="Y321" s="5"/>
      <c r="Z321" s="5"/>
    </row>
    <row r="322" customFormat="false" ht="13.5" hidden="false" customHeight="true" outlineLevel="0" collapsed="false">
      <c r="A322" s="39"/>
      <c r="B322" s="5"/>
      <c r="C322" s="5"/>
      <c r="D322" s="7"/>
      <c r="E322" s="7"/>
      <c r="F322" s="7"/>
      <c r="G322" s="7"/>
      <c r="H322" s="5"/>
      <c r="I322" s="5"/>
      <c r="J322" s="5"/>
      <c r="K322" s="5"/>
      <c r="L322" s="5"/>
      <c r="M322" s="5"/>
      <c r="N322" s="5"/>
      <c r="O322" s="5"/>
      <c r="P322" s="5"/>
      <c r="Q322" s="5"/>
      <c r="R322" s="5"/>
      <c r="S322" s="5"/>
      <c r="T322" s="5"/>
      <c r="U322" s="5"/>
      <c r="V322" s="5"/>
      <c r="W322" s="5"/>
      <c r="X322" s="5"/>
      <c r="Y322" s="5"/>
      <c r="Z322" s="5"/>
    </row>
    <row r="323" customFormat="false" ht="13.5" hidden="false" customHeight="true" outlineLevel="0" collapsed="false">
      <c r="A323" s="39"/>
      <c r="B323" s="5"/>
      <c r="C323" s="5"/>
      <c r="D323" s="7"/>
      <c r="E323" s="7"/>
      <c r="F323" s="7"/>
      <c r="G323" s="7"/>
      <c r="H323" s="5"/>
      <c r="I323" s="5"/>
      <c r="J323" s="5"/>
      <c r="K323" s="5"/>
      <c r="L323" s="5"/>
      <c r="M323" s="5"/>
      <c r="N323" s="5"/>
      <c r="O323" s="5"/>
      <c r="P323" s="5"/>
      <c r="Q323" s="5"/>
      <c r="R323" s="5"/>
      <c r="S323" s="5"/>
      <c r="T323" s="5"/>
      <c r="U323" s="5"/>
      <c r="V323" s="5"/>
      <c r="W323" s="5"/>
      <c r="X323" s="5"/>
      <c r="Y323" s="5"/>
      <c r="Z323" s="5"/>
    </row>
    <row r="324" customFormat="false" ht="13.5" hidden="false" customHeight="true" outlineLevel="0" collapsed="false">
      <c r="A324" s="39"/>
      <c r="B324" s="5"/>
      <c r="C324" s="5"/>
      <c r="D324" s="7"/>
      <c r="E324" s="7"/>
      <c r="F324" s="7"/>
      <c r="G324" s="7"/>
      <c r="H324" s="5"/>
      <c r="I324" s="5"/>
      <c r="J324" s="5"/>
      <c r="K324" s="5"/>
      <c r="L324" s="5"/>
      <c r="M324" s="5"/>
      <c r="N324" s="5"/>
      <c r="O324" s="5"/>
      <c r="P324" s="5"/>
      <c r="Q324" s="5"/>
      <c r="R324" s="5"/>
      <c r="S324" s="5"/>
      <c r="T324" s="5"/>
      <c r="U324" s="5"/>
      <c r="V324" s="5"/>
      <c r="W324" s="5"/>
      <c r="X324" s="5"/>
      <c r="Y324" s="5"/>
      <c r="Z324" s="5"/>
    </row>
    <row r="325" customFormat="false" ht="13.5" hidden="false" customHeight="true" outlineLevel="0" collapsed="false">
      <c r="A325" s="39"/>
      <c r="B325" s="5"/>
      <c r="C325" s="5"/>
      <c r="D325" s="7"/>
      <c r="E325" s="7"/>
      <c r="F325" s="7"/>
      <c r="G325" s="7"/>
      <c r="H325" s="5"/>
      <c r="I325" s="5"/>
      <c r="J325" s="5"/>
      <c r="K325" s="5"/>
      <c r="L325" s="5"/>
      <c r="M325" s="5"/>
      <c r="N325" s="5"/>
      <c r="O325" s="5"/>
      <c r="P325" s="5"/>
      <c r="Q325" s="5"/>
      <c r="R325" s="5"/>
      <c r="S325" s="5"/>
      <c r="T325" s="5"/>
      <c r="U325" s="5"/>
      <c r="V325" s="5"/>
      <c r="W325" s="5"/>
      <c r="X325" s="5"/>
      <c r="Y325" s="5"/>
      <c r="Z325" s="5"/>
    </row>
    <row r="326" customFormat="false" ht="13.5" hidden="false" customHeight="true" outlineLevel="0" collapsed="false">
      <c r="A326" s="39"/>
      <c r="B326" s="5"/>
      <c r="C326" s="5"/>
      <c r="D326" s="7"/>
      <c r="E326" s="7"/>
      <c r="F326" s="7"/>
      <c r="G326" s="7"/>
      <c r="H326" s="5"/>
      <c r="I326" s="5"/>
      <c r="J326" s="5"/>
      <c r="K326" s="5"/>
      <c r="L326" s="5"/>
      <c r="M326" s="5"/>
      <c r="N326" s="5"/>
      <c r="O326" s="5"/>
      <c r="P326" s="5"/>
      <c r="Q326" s="5"/>
      <c r="R326" s="5"/>
      <c r="S326" s="5"/>
      <c r="T326" s="5"/>
      <c r="U326" s="5"/>
      <c r="V326" s="5"/>
      <c r="W326" s="5"/>
      <c r="X326" s="5"/>
      <c r="Y326" s="5"/>
      <c r="Z326" s="5"/>
    </row>
    <row r="327" customFormat="false" ht="13.5" hidden="false" customHeight="true" outlineLevel="0" collapsed="false">
      <c r="A327" s="39"/>
      <c r="B327" s="5"/>
      <c r="C327" s="5"/>
      <c r="D327" s="7"/>
      <c r="E327" s="7"/>
      <c r="F327" s="7"/>
      <c r="G327" s="7"/>
      <c r="H327" s="5"/>
      <c r="I327" s="5"/>
      <c r="J327" s="5"/>
      <c r="K327" s="5"/>
      <c r="L327" s="5"/>
      <c r="M327" s="5"/>
      <c r="N327" s="5"/>
      <c r="O327" s="5"/>
      <c r="P327" s="5"/>
      <c r="Q327" s="5"/>
      <c r="R327" s="5"/>
      <c r="S327" s="5"/>
      <c r="T327" s="5"/>
      <c r="U327" s="5"/>
      <c r="V327" s="5"/>
      <c r="W327" s="5"/>
      <c r="X327" s="5"/>
      <c r="Y327" s="5"/>
      <c r="Z327" s="5"/>
    </row>
    <row r="328" customFormat="false" ht="13.5" hidden="false" customHeight="true" outlineLevel="0" collapsed="false">
      <c r="A328" s="39"/>
      <c r="B328" s="5"/>
      <c r="C328" s="5"/>
      <c r="D328" s="7"/>
      <c r="E328" s="7"/>
      <c r="F328" s="7"/>
      <c r="G328" s="7"/>
      <c r="H328" s="5"/>
      <c r="I328" s="5"/>
      <c r="J328" s="5"/>
      <c r="K328" s="5"/>
      <c r="L328" s="5"/>
      <c r="M328" s="5"/>
      <c r="N328" s="5"/>
      <c r="O328" s="5"/>
      <c r="P328" s="5"/>
      <c r="Q328" s="5"/>
      <c r="R328" s="5"/>
      <c r="S328" s="5"/>
      <c r="T328" s="5"/>
      <c r="U328" s="5"/>
      <c r="V328" s="5"/>
      <c r="W328" s="5"/>
      <c r="X328" s="5"/>
      <c r="Y328" s="5"/>
      <c r="Z328" s="5"/>
    </row>
    <row r="329" customFormat="false" ht="13.5" hidden="false" customHeight="true" outlineLevel="0" collapsed="false">
      <c r="A329" s="39"/>
      <c r="B329" s="5"/>
      <c r="C329" s="5"/>
      <c r="D329" s="7"/>
      <c r="E329" s="7"/>
      <c r="F329" s="7"/>
      <c r="G329" s="7"/>
      <c r="H329" s="5"/>
      <c r="I329" s="5"/>
      <c r="J329" s="5"/>
      <c r="K329" s="5"/>
      <c r="L329" s="5"/>
      <c r="M329" s="5"/>
      <c r="N329" s="5"/>
      <c r="O329" s="5"/>
      <c r="P329" s="5"/>
      <c r="Q329" s="5"/>
      <c r="R329" s="5"/>
      <c r="S329" s="5"/>
      <c r="T329" s="5"/>
      <c r="U329" s="5"/>
      <c r="V329" s="5"/>
      <c r="W329" s="5"/>
      <c r="X329" s="5"/>
      <c r="Y329" s="5"/>
      <c r="Z329" s="5"/>
    </row>
    <row r="330" customFormat="false" ht="13.5" hidden="false" customHeight="true" outlineLevel="0" collapsed="false">
      <c r="A330" s="39"/>
      <c r="B330" s="5"/>
      <c r="C330" s="5"/>
      <c r="D330" s="7"/>
      <c r="E330" s="7"/>
      <c r="F330" s="7"/>
      <c r="G330" s="7"/>
      <c r="H330" s="5"/>
      <c r="I330" s="5"/>
      <c r="J330" s="5"/>
      <c r="K330" s="5"/>
      <c r="L330" s="5"/>
      <c r="M330" s="5"/>
      <c r="N330" s="5"/>
      <c r="O330" s="5"/>
      <c r="P330" s="5"/>
      <c r="Q330" s="5"/>
      <c r="R330" s="5"/>
      <c r="S330" s="5"/>
      <c r="T330" s="5"/>
      <c r="U330" s="5"/>
      <c r="V330" s="5"/>
      <c r="W330" s="5"/>
      <c r="X330" s="5"/>
      <c r="Y330" s="5"/>
      <c r="Z330" s="5"/>
    </row>
    <row r="331" customFormat="false" ht="13.5" hidden="false" customHeight="true" outlineLevel="0" collapsed="false">
      <c r="A331" s="39"/>
      <c r="B331" s="5"/>
      <c r="C331" s="5"/>
      <c r="D331" s="7"/>
      <c r="E331" s="7"/>
      <c r="F331" s="7"/>
      <c r="G331" s="7"/>
      <c r="H331" s="5"/>
      <c r="I331" s="5"/>
      <c r="J331" s="5"/>
      <c r="K331" s="5"/>
      <c r="L331" s="5"/>
      <c r="M331" s="5"/>
      <c r="N331" s="5"/>
      <c r="O331" s="5"/>
      <c r="P331" s="5"/>
      <c r="Q331" s="5"/>
      <c r="R331" s="5"/>
      <c r="S331" s="5"/>
      <c r="T331" s="5"/>
      <c r="U331" s="5"/>
      <c r="V331" s="5"/>
      <c r="W331" s="5"/>
      <c r="X331" s="5"/>
      <c r="Y331" s="5"/>
      <c r="Z331" s="5"/>
    </row>
    <row r="332" customFormat="false" ht="13.5" hidden="false" customHeight="true" outlineLevel="0" collapsed="false">
      <c r="A332" s="39"/>
      <c r="B332" s="5"/>
      <c r="C332" s="5"/>
      <c r="D332" s="7"/>
      <c r="E332" s="7"/>
      <c r="F332" s="7"/>
      <c r="G332" s="7"/>
      <c r="H332" s="5"/>
      <c r="I332" s="5"/>
      <c r="J332" s="5"/>
      <c r="K332" s="5"/>
      <c r="L332" s="5"/>
      <c r="M332" s="5"/>
      <c r="N332" s="5"/>
      <c r="O332" s="5"/>
      <c r="P332" s="5"/>
      <c r="Q332" s="5"/>
      <c r="R332" s="5"/>
      <c r="S332" s="5"/>
      <c r="T332" s="5"/>
      <c r="U332" s="5"/>
      <c r="V332" s="5"/>
      <c r="W332" s="5"/>
      <c r="X332" s="5"/>
      <c r="Y332" s="5"/>
      <c r="Z332" s="5"/>
    </row>
    <row r="333" customFormat="false" ht="13.5" hidden="false" customHeight="true" outlineLevel="0" collapsed="false">
      <c r="A333" s="39"/>
      <c r="B333" s="5"/>
      <c r="C333" s="5"/>
      <c r="D333" s="7"/>
      <c r="E333" s="7"/>
      <c r="F333" s="7"/>
      <c r="G333" s="7"/>
      <c r="H333" s="5"/>
      <c r="I333" s="5"/>
      <c r="J333" s="5"/>
      <c r="K333" s="5"/>
      <c r="L333" s="5"/>
      <c r="M333" s="5"/>
      <c r="N333" s="5"/>
      <c r="O333" s="5"/>
      <c r="P333" s="5"/>
      <c r="Q333" s="5"/>
      <c r="R333" s="5"/>
      <c r="S333" s="5"/>
      <c r="T333" s="5"/>
      <c r="U333" s="5"/>
      <c r="V333" s="5"/>
      <c r="W333" s="5"/>
      <c r="X333" s="5"/>
      <c r="Y333" s="5"/>
      <c r="Z333" s="5"/>
    </row>
    <row r="334" customFormat="false" ht="13.5" hidden="false" customHeight="true" outlineLevel="0" collapsed="false">
      <c r="A334" s="39"/>
      <c r="B334" s="5"/>
      <c r="C334" s="5"/>
      <c r="D334" s="7"/>
      <c r="E334" s="7"/>
      <c r="F334" s="7"/>
      <c r="G334" s="7"/>
      <c r="H334" s="5"/>
      <c r="I334" s="5"/>
      <c r="J334" s="5"/>
      <c r="K334" s="5"/>
      <c r="L334" s="5"/>
      <c r="M334" s="5"/>
      <c r="N334" s="5"/>
      <c r="O334" s="5"/>
      <c r="P334" s="5"/>
      <c r="Q334" s="5"/>
      <c r="R334" s="5"/>
      <c r="S334" s="5"/>
      <c r="T334" s="5"/>
      <c r="U334" s="5"/>
      <c r="V334" s="5"/>
      <c r="W334" s="5"/>
      <c r="X334" s="5"/>
      <c r="Y334" s="5"/>
      <c r="Z334" s="5"/>
    </row>
    <row r="335" customFormat="false" ht="13.5" hidden="false" customHeight="true" outlineLevel="0" collapsed="false">
      <c r="A335" s="39"/>
      <c r="B335" s="5"/>
      <c r="C335" s="5"/>
      <c r="D335" s="7"/>
      <c r="E335" s="7"/>
      <c r="F335" s="7"/>
      <c r="G335" s="7"/>
      <c r="H335" s="5"/>
      <c r="I335" s="5"/>
      <c r="J335" s="5"/>
      <c r="K335" s="5"/>
      <c r="L335" s="5"/>
      <c r="M335" s="5"/>
      <c r="N335" s="5"/>
      <c r="O335" s="5"/>
      <c r="P335" s="5"/>
      <c r="Q335" s="5"/>
      <c r="R335" s="5"/>
      <c r="S335" s="5"/>
      <c r="T335" s="5"/>
      <c r="U335" s="5"/>
      <c r="V335" s="5"/>
      <c r="W335" s="5"/>
      <c r="X335" s="5"/>
      <c r="Y335" s="5"/>
      <c r="Z335" s="5"/>
    </row>
    <row r="336" customFormat="false" ht="13.5" hidden="false" customHeight="true" outlineLevel="0" collapsed="false">
      <c r="A336" s="39"/>
      <c r="B336" s="5"/>
      <c r="C336" s="5"/>
      <c r="D336" s="7"/>
      <c r="E336" s="7"/>
      <c r="F336" s="7"/>
      <c r="G336" s="7"/>
      <c r="H336" s="5"/>
      <c r="I336" s="5"/>
      <c r="J336" s="5"/>
      <c r="K336" s="5"/>
      <c r="L336" s="5"/>
      <c r="M336" s="5"/>
      <c r="N336" s="5"/>
      <c r="O336" s="5"/>
      <c r="P336" s="5"/>
      <c r="Q336" s="5"/>
      <c r="R336" s="5"/>
      <c r="S336" s="5"/>
      <c r="T336" s="5"/>
      <c r="U336" s="5"/>
      <c r="V336" s="5"/>
      <c r="W336" s="5"/>
      <c r="X336" s="5"/>
      <c r="Y336" s="5"/>
      <c r="Z336" s="5"/>
    </row>
    <row r="337" customFormat="false" ht="13.5" hidden="false" customHeight="true" outlineLevel="0" collapsed="false">
      <c r="A337" s="39"/>
      <c r="B337" s="5"/>
      <c r="C337" s="5"/>
      <c r="D337" s="7"/>
      <c r="E337" s="7"/>
      <c r="F337" s="7"/>
      <c r="G337" s="7"/>
      <c r="H337" s="5"/>
      <c r="I337" s="5"/>
      <c r="J337" s="5"/>
      <c r="K337" s="5"/>
      <c r="L337" s="5"/>
      <c r="M337" s="5"/>
      <c r="N337" s="5"/>
      <c r="O337" s="5"/>
      <c r="P337" s="5"/>
      <c r="Q337" s="5"/>
      <c r="R337" s="5"/>
      <c r="S337" s="5"/>
      <c r="T337" s="5"/>
      <c r="U337" s="5"/>
      <c r="V337" s="5"/>
      <c r="W337" s="5"/>
      <c r="X337" s="5"/>
      <c r="Y337" s="5"/>
      <c r="Z337" s="5"/>
    </row>
    <row r="338" customFormat="false" ht="13.5" hidden="false" customHeight="true" outlineLevel="0" collapsed="false">
      <c r="A338" s="39"/>
      <c r="B338" s="5"/>
      <c r="C338" s="5"/>
      <c r="D338" s="7"/>
      <c r="E338" s="7"/>
      <c r="F338" s="7"/>
      <c r="G338" s="7"/>
      <c r="H338" s="5"/>
      <c r="I338" s="5"/>
      <c r="J338" s="5"/>
      <c r="K338" s="5"/>
      <c r="L338" s="5"/>
      <c r="M338" s="5"/>
      <c r="N338" s="5"/>
      <c r="O338" s="5"/>
      <c r="P338" s="5"/>
      <c r="Q338" s="5"/>
      <c r="R338" s="5"/>
      <c r="S338" s="5"/>
      <c r="T338" s="5"/>
      <c r="U338" s="5"/>
      <c r="V338" s="5"/>
      <c r="W338" s="5"/>
      <c r="X338" s="5"/>
      <c r="Y338" s="5"/>
      <c r="Z338" s="5"/>
    </row>
    <row r="339" customFormat="false" ht="13.5" hidden="false" customHeight="true" outlineLevel="0" collapsed="false">
      <c r="A339" s="39"/>
      <c r="B339" s="5"/>
      <c r="C339" s="5"/>
      <c r="D339" s="7"/>
      <c r="E339" s="7"/>
      <c r="F339" s="7"/>
      <c r="G339" s="7"/>
      <c r="H339" s="5"/>
      <c r="I339" s="5"/>
      <c r="J339" s="5"/>
      <c r="K339" s="5"/>
      <c r="L339" s="5"/>
      <c r="M339" s="5"/>
      <c r="N339" s="5"/>
      <c r="O339" s="5"/>
      <c r="P339" s="5"/>
      <c r="Q339" s="5"/>
      <c r="R339" s="5"/>
      <c r="S339" s="5"/>
      <c r="T339" s="5"/>
      <c r="U339" s="5"/>
      <c r="V339" s="5"/>
      <c r="W339" s="5"/>
      <c r="X339" s="5"/>
      <c r="Y339" s="5"/>
      <c r="Z339" s="5"/>
    </row>
    <row r="340" customFormat="false" ht="13.5" hidden="false" customHeight="true" outlineLevel="0" collapsed="false">
      <c r="A340" s="39"/>
      <c r="B340" s="5"/>
      <c r="C340" s="5"/>
      <c r="D340" s="7"/>
      <c r="E340" s="7"/>
      <c r="F340" s="7"/>
      <c r="G340" s="7"/>
      <c r="H340" s="5"/>
      <c r="I340" s="5"/>
      <c r="J340" s="5"/>
      <c r="K340" s="5"/>
      <c r="L340" s="5"/>
      <c r="M340" s="5"/>
      <c r="N340" s="5"/>
      <c r="O340" s="5"/>
      <c r="P340" s="5"/>
      <c r="Q340" s="5"/>
      <c r="R340" s="5"/>
      <c r="S340" s="5"/>
      <c r="T340" s="5"/>
      <c r="U340" s="5"/>
      <c r="V340" s="5"/>
      <c r="W340" s="5"/>
      <c r="X340" s="5"/>
      <c r="Y340" s="5"/>
      <c r="Z340" s="5"/>
    </row>
    <row r="341" customFormat="false" ht="13.5" hidden="false" customHeight="true" outlineLevel="0" collapsed="false">
      <c r="A341" s="39"/>
      <c r="B341" s="5"/>
      <c r="C341" s="5"/>
      <c r="D341" s="7"/>
      <c r="E341" s="7"/>
      <c r="F341" s="7"/>
      <c r="G341" s="7"/>
      <c r="H341" s="5"/>
      <c r="I341" s="5"/>
      <c r="J341" s="5"/>
      <c r="K341" s="5"/>
      <c r="L341" s="5"/>
      <c r="M341" s="5"/>
      <c r="N341" s="5"/>
      <c r="O341" s="5"/>
      <c r="P341" s="5"/>
      <c r="Q341" s="5"/>
      <c r="R341" s="5"/>
      <c r="S341" s="5"/>
      <c r="T341" s="5"/>
      <c r="U341" s="5"/>
      <c r="V341" s="5"/>
      <c r="W341" s="5"/>
      <c r="X341" s="5"/>
      <c r="Y341" s="5"/>
      <c r="Z341" s="5"/>
    </row>
    <row r="342" customFormat="false" ht="13.5" hidden="false" customHeight="true" outlineLevel="0" collapsed="false">
      <c r="A342" s="39"/>
      <c r="B342" s="5"/>
      <c r="C342" s="5"/>
      <c r="D342" s="7"/>
      <c r="E342" s="7"/>
      <c r="F342" s="7"/>
      <c r="G342" s="7"/>
      <c r="H342" s="5"/>
      <c r="I342" s="5"/>
      <c r="J342" s="5"/>
      <c r="K342" s="5"/>
      <c r="L342" s="5"/>
      <c r="M342" s="5"/>
      <c r="N342" s="5"/>
      <c r="O342" s="5"/>
      <c r="P342" s="5"/>
      <c r="Q342" s="5"/>
      <c r="R342" s="5"/>
      <c r="S342" s="5"/>
      <c r="T342" s="5"/>
      <c r="U342" s="5"/>
      <c r="V342" s="5"/>
      <c r="W342" s="5"/>
      <c r="X342" s="5"/>
      <c r="Y342" s="5"/>
      <c r="Z342" s="5"/>
    </row>
    <row r="343" customFormat="false" ht="13.5" hidden="false" customHeight="true" outlineLevel="0" collapsed="false">
      <c r="A343" s="39"/>
      <c r="B343" s="5"/>
      <c r="C343" s="5"/>
      <c r="D343" s="7"/>
      <c r="E343" s="7"/>
      <c r="F343" s="7"/>
      <c r="G343" s="7"/>
      <c r="H343" s="5"/>
      <c r="I343" s="5"/>
      <c r="J343" s="5"/>
      <c r="K343" s="5"/>
      <c r="L343" s="5"/>
      <c r="M343" s="5"/>
      <c r="N343" s="5"/>
      <c r="O343" s="5"/>
      <c r="P343" s="5"/>
      <c r="Q343" s="5"/>
      <c r="R343" s="5"/>
      <c r="S343" s="5"/>
      <c r="T343" s="5"/>
      <c r="U343" s="5"/>
      <c r="V343" s="5"/>
      <c r="W343" s="5"/>
      <c r="X343" s="5"/>
      <c r="Y343" s="5"/>
      <c r="Z343" s="5"/>
    </row>
    <row r="344" customFormat="false" ht="13.5" hidden="false" customHeight="true" outlineLevel="0" collapsed="false">
      <c r="A344" s="39"/>
      <c r="B344" s="5"/>
      <c r="C344" s="5"/>
      <c r="D344" s="7"/>
      <c r="E344" s="7"/>
      <c r="F344" s="7"/>
      <c r="G344" s="7"/>
      <c r="H344" s="5"/>
      <c r="I344" s="5"/>
      <c r="J344" s="5"/>
      <c r="K344" s="5"/>
      <c r="L344" s="5"/>
      <c r="M344" s="5"/>
      <c r="N344" s="5"/>
      <c r="O344" s="5"/>
      <c r="P344" s="5"/>
      <c r="Q344" s="5"/>
      <c r="R344" s="5"/>
      <c r="S344" s="5"/>
      <c r="T344" s="5"/>
      <c r="U344" s="5"/>
      <c r="V344" s="5"/>
      <c r="W344" s="5"/>
      <c r="X344" s="5"/>
      <c r="Y344" s="5"/>
      <c r="Z344" s="5"/>
    </row>
    <row r="345" customFormat="false" ht="13.5" hidden="false" customHeight="true" outlineLevel="0" collapsed="false">
      <c r="A345" s="39"/>
      <c r="B345" s="5"/>
      <c r="C345" s="5"/>
      <c r="D345" s="7"/>
      <c r="E345" s="7"/>
      <c r="F345" s="7"/>
      <c r="G345" s="7"/>
      <c r="H345" s="5"/>
      <c r="I345" s="5"/>
      <c r="J345" s="5"/>
      <c r="K345" s="5"/>
      <c r="L345" s="5"/>
      <c r="M345" s="5"/>
      <c r="N345" s="5"/>
      <c r="O345" s="5"/>
      <c r="P345" s="5"/>
      <c r="Q345" s="5"/>
      <c r="R345" s="5"/>
      <c r="S345" s="5"/>
      <c r="T345" s="5"/>
      <c r="U345" s="5"/>
      <c r="V345" s="5"/>
      <c r="W345" s="5"/>
      <c r="X345" s="5"/>
      <c r="Y345" s="5"/>
      <c r="Z345" s="5"/>
    </row>
    <row r="346" customFormat="false" ht="13.5" hidden="false" customHeight="true" outlineLevel="0" collapsed="false">
      <c r="A346" s="39"/>
      <c r="B346" s="5"/>
      <c r="C346" s="5"/>
      <c r="D346" s="7"/>
      <c r="E346" s="7"/>
      <c r="F346" s="7"/>
      <c r="G346" s="7"/>
      <c r="H346" s="5"/>
      <c r="I346" s="5"/>
      <c r="J346" s="5"/>
      <c r="K346" s="5"/>
      <c r="L346" s="5"/>
      <c r="M346" s="5"/>
      <c r="N346" s="5"/>
      <c r="O346" s="5"/>
      <c r="P346" s="5"/>
      <c r="Q346" s="5"/>
      <c r="R346" s="5"/>
      <c r="S346" s="5"/>
      <c r="T346" s="5"/>
      <c r="U346" s="5"/>
      <c r="V346" s="5"/>
      <c r="W346" s="5"/>
      <c r="X346" s="5"/>
      <c r="Y346" s="5"/>
      <c r="Z346" s="5"/>
    </row>
    <row r="347" customFormat="false" ht="13.5" hidden="false" customHeight="true" outlineLevel="0" collapsed="false">
      <c r="A347" s="39"/>
      <c r="B347" s="5"/>
      <c r="C347" s="5"/>
      <c r="D347" s="7"/>
      <c r="E347" s="7"/>
      <c r="F347" s="7"/>
      <c r="G347" s="7"/>
      <c r="H347" s="5"/>
      <c r="I347" s="5"/>
      <c r="J347" s="5"/>
      <c r="K347" s="5"/>
      <c r="L347" s="5"/>
      <c r="M347" s="5"/>
      <c r="N347" s="5"/>
      <c r="O347" s="5"/>
      <c r="P347" s="5"/>
      <c r="Q347" s="5"/>
      <c r="R347" s="5"/>
      <c r="S347" s="5"/>
      <c r="T347" s="5"/>
      <c r="U347" s="5"/>
      <c r="V347" s="5"/>
      <c r="W347" s="5"/>
      <c r="X347" s="5"/>
      <c r="Y347" s="5"/>
      <c r="Z347" s="5"/>
    </row>
    <row r="348" customFormat="false" ht="13.5" hidden="false" customHeight="true" outlineLevel="0" collapsed="false">
      <c r="A348" s="39"/>
      <c r="B348" s="5"/>
      <c r="C348" s="5"/>
      <c r="D348" s="7"/>
      <c r="E348" s="7"/>
      <c r="F348" s="7"/>
      <c r="G348" s="7"/>
      <c r="H348" s="5"/>
      <c r="I348" s="5"/>
      <c r="J348" s="5"/>
      <c r="K348" s="5"/>
      <c r="L348" s="5"/>
      <c r="M348" s="5"/>
      <c r="N348" s="5"/>
      <c r="O348" s="5"/>
      <c r="P348" s="5"/>
      <c r="Q348" s="5"/>
      <c r="R348" s="5"/>
      <c r="S348" s="5"/>
      <c r="T348" s="5"/>
      <c r="U348" s="5"/>
      <c r="V348" s="5"/>
      <c r="W348" s="5"/>
      <c r="X348" s="5"/>
      <c r="Y348" s="5"/>
      <c r="Z348" s="5"/>
    </row>
    <row r="349" customFormat="false" ht="13.5" hidden="false" customHeight="true" outlineLevel="0" collapsed="false">
      <c r="A349" s="39"/>
      <c r="B349" s="5"/>
      <c r="C349" s="5"/>
      <c r="D349" s="7"/>
      <c r="E349" s="7"/>
      <c r="F349" s="7"/>
      <c r="G349" s="7"/>
      <c r="H349" s="5"/>
      <c r="I349" s="5"/>
      <c r="J349" s="5"/>
      <c r="K349" s="5"/>
      <c r="L349" s="5"/>
      <c r="M349" s="5"/>
      <c r="N349" s="5"/>
      <c r="O349" s="5"/>
      <c r="P349" s="5"/>
      <c r="Q349" s="5"/>
      <c r="R349" s="5"/>
      <c r="S349" s="5"/>
      <c r="T349" s="5"/>
      <c r="U349" s="5"/>
      <c r="V349" s="5"/>
      <c r="W349" s="5"/>
      <c r="X349" s="5"/>
      <c r="Y349" s="5"/>
      <c r="Z349" s="5"/>
    </row>
    <row r="350" customFormat="false" ht="13.5" hidden="false" customHeight="true" outlineLevel="0" collapsed="false">
      <c r="A350" s="39"/>
      <c r="B350" s="5"/>
      <c r="C350" s="5"/>
      <c r="D350" s="7"/>
      <c r="E350" s="7"/>
      <c r="F350" s="7"/>
      <c r="G350" s="7"/>
      <c r="H350" s="5"/>
      <c r="I350" s="5"/>
      <c r="J350" s="5"/>
      <c r="K350" s="5"/>
      <c r="L350" s="5"/>
      <c r="M350" s="5"/>
      <c r="N350" s="5"/>
      <c r="O350" s="5"/>
      <c r="P350" s="5"/>
      <c r="Q350" s="5"/>
      <c r="R350" s="5"/>
      <c r="S350" s="5"/>
      <c r="T350" s="5"/>
      <c r="U350" s="5"/>
      <c r="V350" s="5"/>
      <c r="W350" s="5"/>
      <c r="X350" s="5"/>
      <c r="Y350" s="5"/>
      <c r="Z350" s="5"/>
    </row>
    <row r="351" customFormat="false" ht="13.5" hidden="false" customHeight="true" outlineLevel="0" collapsed="false">
      <c r="A351" s="39"/>
      <c r="B351" s="5"/>
      <c r="C351" s="5"/>
      <c r="D351" s="7"/>
      <c r="E351" s="7"/>
      <c r="F351" s="7"/>
      <c r="G351" s="7"/>
      <c r="H351" s="5"/>
      <c r="I351" s="5"/>
      <c r="J351" s="5"/>
      <c r="K351" s="5"/>
      <c r="L351" s="5"/>
      <c r="M351" s="5"/>
      <c r="N351" s="5"/>
      <c r="O351" s="5"/>
      <c r="P351" s="5"/>
      <c r="Q351" s="5"/>
      <c r="R351" s="5"/>
      <c r="S351" s="5"/>
      <c r="T351" s="5"/>
      <c r="U351" s="5"/>
      <c r="V351" s="5"/>
      <c r="W351" s="5"/>
      <c r="X351" s="5"/>
      <c r="Y351" s="5"/>
      <c r="Z351" s="5"/>
    </row>
    <row r="352" customFormat="false" ht="13.5" hidden="false" customHeight="true" outlineLevel="0" collapsed="false">
      <c r="A352" s="39"/>
      <c r="B352" s="5"/>
      <c r="C352" s="5"/>
      <c r="D352" s="7"/>
      <c r="E352" s="7"/>
      <c r="F352" s="7"/>
      <c r="G352" s="7"/>
      <c r="H352" s="5"/>
      <c r="I352" s="5"/>
      <c r="J352" s="5"/>
      <c r="K352" s="5"/>
      <c r="L352" s="5"/>
      <c r="M352" s="5"/>
      <c r="N352" s="5"/>
      <c r="O352" s="5"/>
      <c r="P352" s="5"/>
      <c r="Q352" s="5"/>
      <c r="R352" s="5"/>
      <c r="S352" s="5"/>
      <c r="T352" s="5"/>
      <c r="U352" s="5"/>
      <c r="V352" s="5"/>
      <c r="W352" s="5"/>
      <c r="X352" s="5"/>
      <c r="Y352" s="5"/>
      <c r="Z352" s="5"/>
    </row>
    <row r="353" customFormat="false" ht="13.5" hidden="false" customHeight="true" outlineLevel="0" collapsed="false">
      <c r="A353" s="39"/>
      <c r="B353" s="5"/>
      <c r="C353" s="5"/>
      <c r="D353" s="7"/>
      <c r="E353" s="7"/>
      <c r="F353" s="7"/>
      <c r="G353" s="7"/>
      <c r="H353" s="5"/>
      <c r="I353" s="5"/>
      <c r="J353" s="5"/>
      <c r="K353" s="5"/>
      <c r="L353" s="5"/>
      <c r="M353" s="5"/>
      <c r="N353" s="5"/>
      <c r="O353" s="5"/>
      <c r="P353" s="5"/>
      <c r="Q353" s="5"/>
      <c r="R353" s="5"/>
      <c r="S353" s="5"/>
      <c r="T353" s="5"/>
      <c r="U353" s="5"/>
      <c r="V353" s="5"/>
      <c r="W353" s="5"/>
      <c r="X353" s="5"/>
      <c r="Y353" s="5"/>
      <c r="Z353" s="5"/>
    </row>
    <row r="354" customFormat="false" ht="13.5" hidden="false" customHeight="true" outlineLevel="0" collapsed="false">
      <c r="A354" s="39"/>
      <c r="B354" s="5"/>
      <c r="C354" s="5"/>
      <c r="D354" s="7"/>
      <c r="E354" s="7"/>
      <c r="F354" s="7"/>
      <c r="G354" s="7"/>
      <c r="H354" s="5"/>
      <c r="I354" s="5"/>
      <c r="J354" s="5"/>
      <c r="K354" s="5"/>
      <c r="L354" s="5"/>
      <c r="M354" s="5"/>
      <c r="N354" s="5"/>
      <c r="O354" s="5"/>
      <c r="P354" s="5"/>
      <c r="Q354" s="5"/>
      <c r="R354" s="5"/>
      <c r="S354" s="5"/>
      <c r="T354" s="5"/>
      <c r="U354" s="5"/>
      <c r="V354" s="5"/>
      <c r="W354" s="5"/>
      <c r="X354" s="5"/>
      <c r="Y354" s="5"/>
      <c r="Z354" s="5"/>
    </row>
    <row r="355" customFormat="false" ht="13.5" hidden="false" customHeight="true" outlineLevel="0" collapsed="false">
      <c r="A355" s="39"/>
      <c r="B355" s="5"/>
      <c r="C355" s="5"/>
      <c r="D355" s="7"/>
      <c r="E355" s="7"/>
      <c r="F355" s="7"/>
      <c r="G355" s="7"/>
      <c r="H355" s="5"/>
      <c r="I355" s="5"/>
      <c r="J355" s="5"/>
      <c r="K355" s="5"/>
      <c r="L355" s="5"/>
      <c r="M355" s="5"/>
      <c r="N355" s="5"/>
      <c r="O355" s="5"/>
      <c r="P355" s="5"/>
      <c r="Q355" s="5"/>
      <c r="R355" s="5"/>
      <c r="S355" s="5"/>
      <c r="T355" s="5"/>
      <c r="U355" s="5"/>
      <c r="V355" s="5"/>
      <c r="W355" s="5"/>
      <c r="X355" s="5"/>
      <c r="Y355" s="5"/>
      <c r="Z355" s="5"/>
    </row>
    <row r="356" customFormat="false" ht="13.5" hidden="false" customHeight="true" outlineLevel="0" collapsed="false">
      <c r="A356" s="39"/>
      <c r="B356" s="5"/>
      <c r="C356" s="5"/>
      <c r="D356" s="7"/>
      <c r="E356" s="7"/>
      <c r="F356" s="7"/>
      <c r="G356" s="7"/>
      <c r="H356" s="5"/>
      <c r="I356" s="5"/>
      <c r="J356" s="5"/>
      <c r="K356" s="5"/>
      <c r="L356" s="5"/>
      <c r="M356" s="5"/>
      <c r="N356" s="5"/>
      <c r="O356" s="5"/>
      <c r="P356" s="5"/>
      <c r="Q356" s="5"/>
      <c r="R356" s="5"/>
      <c r="S356" s="5"/>
      <c r="T356" s="5"/>
      <c r="U356" s="5"/>
      <c r="V356" s="5"/>
      <c r="W356" s="5"/>
      <c r="X356" s="5"/>
      <c r="Y356" s="5"/>
      <c r="Z356" s="5"/>
    </row>
    <row r="357" customFormat="false" ht="13.5" hidden="false" customHeight="true" outlineLevel="0" collapsed="false">
      <c r="A357" s="39"/>
      <c r="B357" s="5"/>
      <c r="C357" s="5"/>
      <c r="D357" s="7"/>
      <c r="E357" s="7"/>
      <c r="F357" s="7"/>
      <c r="G357" s="7"/>
      <c r="H357" s="5"/>
      <c r="I357" s="5"/>
      <c r="J357" s="5"/>
      <c r="K357" s="5"/>
      <c r="L357" s="5"/>
      <c r="M357" s="5"/>
      <c r="N357" s="5"/>
      <c r="O357" s="5"/>
      <c r="P357" s="5"/>
      <c r="Q357" s="5"/>
      <c r="R357" s="5"/>
      <c r="S357" s="5"/>
      <c r="T357" s="5"/>
      <c r="U357" s="5"/>
      <c r="V357" s="5"/>
      <c r="W357" s="5"/>
      <c r="X357" s="5"/>
      <c r="Y357" s="5"/>
      <c r="Z357" s="5"/>
    </row>
    <row r="358" customFormat="false" ht="13.5" hidden="false" customHeight="true" outlineLevel="0" collapsed="false">
      <c r="A358" s="39"/>
      <c r="B358" s="5"/>
      <c r="C358" s="5"/>
      <c r="D358" s="7"/>
      <c r="E358" s="7"/>
      <c r="F358" s="7"/>
      <c r="G358" s="7"/>
      <c r="H358" s="5"/>
      <c r="I358" s="5"/>
      <c r="J358" s="5"/>
      <c r="K358" s="5"/>
      <c r="L358" s="5"/>
      <c r="M358" s="5"/>
      <c r="N358" s="5"/>
      <c r="O358" s="5"/>
      <c r="P358" s="5"/>
      <c r="Q358" s="5"/>
      <c r="R358" s="5"/>
      <c r="S358" s="5"/>
      <c r="T358" s="5"/>
      <c r="U358" s="5"/>
      <c r="V358" s="5"/>
      <c r="W358" s="5"/>
      <c r="X358" s="5"/>
      <c r="Y358" s="5"/>
      <c r="Z358" s="5"/>
    </row>
    <row r="359" customFormat="false" ht="13.5" hidden="false" customHeight="true" outlineLevel="0" collapsed="false">
      <c r="A359" s="39"/>
      <c r="B359" s="5"/>
      <c r="C359" s="5"/>
      <c r="D359" s="7"/>
      <c r="E359" s="7"/>
      <c r="F359" s="7"/>
      <c r="G359" s="7"/>
      <c r="H359" s="5"/>
      <c r="I359" s="5"/>
      <c r="J359" s="5"/>
      <c r="K359" s="5"/>
      <c r="L359" s="5"/>
      <c r="M359" s="5"/>
      <c r="N359" s="5"/>
      <c r="O359" s="5"/>
      <c r="P359" s="5"/>
      <c r="Q359" s="5"/>
      <c r="R359" s="5"/>
      <c r="S359" s="5"/>
      <c r="T359" s="5"/>
      <c r="U359" s="5"/>
      <c r="V359" s="5"/>
      <c r="W359" s="5"/>
      <c r="X359" s="5"/>
      <c r="Y359" s="5"/>
      <c r="Z359" s="5"/>
    </row>
    <row r="360" customFormat="false" ht="13.5" hidden="false" customHeight="true" outlineLevel="0" collapsed="false">
      <c r="A360" s="39"/>
      <c r="B360" s="5"/>
      <c r="C360" s="5"/>
      <c r="D360" s="7"/>
      <c r="E360" s="7"/>
      <c r="F360" s="7"/>
      <c r="G360" s="7"/>
      <c r="H360" s="5"/>
      <c r="I360" s="5"/>
      <c r="J360" s="5"/>
      <c r="K360" s="5"/>
      <c r="L360" s="5"/>
      <c r="M360" s="5"/>
      <c r="N360" s="5"/>
      <c r="O360" s="5"/>
      <c r="P360" s="5"/>
      <c r="Q360" s="5"/>
      <c r="R360" s="5"/>
      <c r="S360" s="5"/>
      <c r="T360" s="5"/>
      <c r="U360" s="5"/>
      <c r="V360" s="5"/>
      <c r="W360" s="5"/>
      <c r="X360" s="5"/>
      <c r="Y360" s="5"/>
      <c r="Z360" s="5"/>
    </row>
    <row r="361" customFormat="false" ht="13.5" hidden="false" customHeight="true" outlineLevel="0" collapsed="false">
      <c r="A361" s="39"/>
      <c r="B361" s="5"/>
      <c r="C361" s="5"/>
      <c r="D361" s="7"/>
      <c r="E361" s="7"/>
      <c r="F361" s="7"/>
      <c r="G361" s="7"/>
      <c r="H361" s="5"/>
      <c r="I361" s="5"/>
      <c r="J361" s="5"/>
      <c r="K361" s="5"/>
      <c r="L361" s="5"/>
      <c r="M361" s="5"/>
      <c r="N361" s="5"/>
      <c r="O361" s="5"/>
      <c r="P361" s="5"/>
      <c r="Q361" s="5"/>
      <c r="R361" s="5"/>
      <c r="S361" s="5"/>
      <c r="T361" s="5"/>
      <c r="U361" s="5"/>
      <c r="V361" s="5"/>
      <c r="W361" s="5"/>
      <c r="X361" s="5"/>
      <c r="Y361" s="5"/>
      <c r="Z361" s="5"/>
    </row>
    <row r="362" customFormat="false" ht="13.5" hidden="false" customHeight="true" outlineLevel="0" collapsed="false">
      <c r="A362" s="39"/>
      <c r="B362" s="5"/>
      <c r="C362" s="5"/>
      <c r="D362" s="7"/>
      <c r="E362" s="7"/>
      <c r="F362" s="7"/>
      <c r="G362" s="7"/>
      <c r="H362" s="5"/>
      <c r="I362" s="5"/>
      <c r="J362" s="5"/>
      <c r="K362" s="5"/>
      <c r="L362" s="5"/>
      <c r="M362" s="5"/>
      <c r="N362" s="5"/>
      <c r="O362" s="5"/>
      <c r="P362" s="5"/>
      <c r="Q362" s="5"/>
      <c r="R362" s="5"/>
      <c r="S362" s="5"/>
      <c r="T362" s="5"/>
      <c r="U362" s="5"/>
      <c r="V362" s="5"/>
      <c r="W362" s="5"/>
      <c r="X362" s="5"/>
      <c r="Y362" s="5"/>
      <c r="Z362" s="5"/>
    </row>
    <row r="363" customFormat="false" ht="13.5" hidden="false" customHeight="true" outlineLevel="0" collapsed="false">
      <c r="A363" s="39"/>
      <c r="B363" s="5"/>
      <c r="C363" s="5"/>
      <c r="D363" s="7"/>
      <c r="E363" s="7"/>
      <c r="F363" s="7"/>
      <c r="G363" s="7"/>
      <c r="H363" s="5"/>
      <c r="I363" s="5"/>
      <c r="J363" s="5"/>
      <c r="K363" s="5"/>
      <c r="L363" s="5"/>
      <c r="M363" s="5"/>
      <c r="N363" s="5"/>
      <c r="O363" s="5"/>
      <c r="P363" s="5"/>
      <c r="Q363" s="5"/>
      <c r="R363" s="5"/>
      <c r="S363" s="5"/>
      <c r="T363" s="5"/>
      <c r="U363" s="5"/>
      <c r="V363" s="5"/>
      <c r="W363" s="5"/>
      <c r="X363" s="5"/>
      <c r="Y363" s="5"/>
      <c r="Z363" s="5"/>
    </row>
    <row r="364" customFormat="false" ht="13.5" hidden="false" customHeight="true" outlineLevel="0" collapsed="false">
      <c r="A364" s="39"/>
      <c r="B364" s="5"/>
      <c r="C364" s="5"/>
      <c r="D364" s="7"/>
      <c r="E364" s="7"/>
      <c r="F364" s="7"/>
      <c r="G364" s="7"/>
      <c r="H364" s="5"/>
      <c r="I364" s="5"/>
      <c r="J364" s="5"/>
      <c r="K364" s="5"/>
      <c r="L364" s="5"/>
      <c r="M364" s="5"/>
      <c r="N364" s="5"/>
      <c r="O364" s="5"/>
      <c r="P364" s="5"/>
      <c r="Q364" s="5"/>
      <c r="R364" s="5"/>
      <c r="S364" s="5"/>
      <c r="T364" s="5"/>
      <c r="U364" s="5"/>
      <c r="V364" s="5"/>
      <c r="W364" s="5"/>
      <c r="X364" s="5"/>
      <c r="Y364" s="5"/>
      <c r="Z364" s="5"/>
    </row>
    <row r="365" customFormat="false" ht="13.5" hidden="false" customHeight="true" outlineLevel="0" collapsed="false">
      <c r="A365" s="39"/>
      <c r="B365" s="5"/>
      <c r="C365" s="5"/>
      <c r="D365" s="7"/>
      <c r="E365" s="7"/>
      <c r="F365" s="7"/>
      <c r="G365" s="7"/>
      <c r="H365" s="5"/>
      <c r="I365" s="5"/>
      <c r="J365" s="5"/>
      <c r="K365" s="5"/>
      <c r="L365" s="5"/>
      <c r="M365" s="5"/>
      <c r="N365" s="5"/>
      <c r="O365" s="5"/>
      <c r="P365" s="5"/>
      <c r="Q365" s="5"/>
      <c r="R365" s="5"/>
      <c r="S365" s="5"/>
      <c r="T365" s="5"/>
      <c r="U365" s="5"/>
      <c r="V365" s="5"/>
      <c r="W365" s="5"/>
      <c r="X365" s="5"/>
      <c r="Y365" s="5"/>
      <c r="Z365" s="5"/>
    </row>
    <row r="366" customFormat="false" ht="13.5" hidden="false" customHeight="true" outlineLevel="0" collapsed="false">
      <c r="A366" s="39"/>
      <c r="B366" s="5"/>
      <c r="C366" s="5"/>
      <c r="D366" s="7"/>
      <c r="E366" s="7"/>
      <c r="F366" s="7"/>
      <c r="G366" s="7"/>
      <c r="H366" s="5"/>
      <c r="I366" s="5"/>
      <c r="J366" s="5"/>
      <c r="K366" s="5"/>
      <c r="L366" s="5"/>
      <c r="M366" s="5"/>
      <c r="N366" s="5"/>
      <c r="O366" s="5"/>
      <c r="P366" s="5"/>
      <c r="Q366" s="5"/>
      <c r="R366" s="5"/>
      <c r="S366" s="5"/>
      <c r="T366" s="5"/>
      <c r="U366" s="5"/>
      <c r="V366" s="5"/>
      <c r="W366" s="5"/>
      <c r="X366" s="5"/>
      <c r="Y366" s="5"/>
      <c r="Z366" s="5"/>
    </row>
    <row r="367" customFormat="false" ht="13.5" hidden="false" customHeight="true" outlineLevel="0" collapsed="false">
      <c r="A367" s="39"/>
      <c r="B367" s="5"/>
      <c r="C367" s="5"/>
      <c r="D367" s="7"/>
      <c r="E367" s="7"/>
      <c r="F367" s="7"/>
      <c r="G367" s="7"/>
      <c r="H367" s="5"/>
      <c r="I367" s="5"/>
      <c r="J367" s="5"/>
      <c r="K367" s="5"/>
      <c r="L367" s="5"/>
      <c r="M367" s="5"/>
      <c r="N367" s="5"/>
      <c r="O367" s="5"/>
      <c r="P367" s="5"/>
      <c r="Q367" s="5"/>
      <c r="R367" s="5"/>
      <c r="S367" s="5"/>
      <c r="T367" s="5"/>
      <c r="U367" s="5"/>
      <c r="V367" s="5"/>
      <c r="W367" s="5"/>
      <c r="X367" s="5"/>
      <c r="Y367" s="5"/>
      <c r="Z367" s="5"/>
    </row>
    <row r="368" customFormat="false" ht="13.5" hidden="false" customHeight="true" outlineLevel="0" collapsed="false">
      <c r="A368" s="39"/>
      <c r="B368" s="5"/>
      <c r="C368" s="5"/>
      <c r="D368" s="7"/>
      <c r="E368" s="7"/>
      <c r="F368" s="7"/>
      <c r="G368" s="7"/>
      <c r="H368" s="5"/>
      <c r="I368" s="5"/>
      <c r="J368" s="5"/>
      <c r="K368" s="5"/>
      <c r="L368" s="5"/>
      <c r="M368" s="5"/>
      <c r="N368" s="5"/>
      <c r="O368" s="5"/>
      <c r="P368" s="5"/>
      <c r="Q368" s="5"/>
      <c r="R368" s="5"/>
      <c r="S368" s="5"/>
      <c r="T368" s="5"/>
      <c r="U368" s="5"/>
      <c r="V368" s="5"/>
      <c r="W368" s="5"/>
      <c r="X368" s="5"/>
      <c r="Y368" s="5"/>
      <c r="Z368" s="5"/>
    </row>
    <row r="369" customFormat="false" ht="13.5" hidden="false" customHeight="true" outlineLevel="0" collapsed="false">
      <c r="A369" s="39"/>
      <c r="B369" s="5"/>
      <c r="C369" s="5"/>
      <c r="D369" s="7"/>
      <c r="E369" s="7"/>
      <c r="F369" s="7"/>
      <c r="G369" s="7"/>
      <c r="H369" s="5"/>
      <c r="I369" s="5"/>
      <c r="J369" s="5"/>
      <c r="K369" s="5"/>
      <c r="L369" s="5"/>
      <c r="M369" s="5"/>
      <c r="N369" s="5"/>
      <c r="O369" s="5"/>
      <c r="P369" s="5"/>
      <c r="Q369" s="5"/>
      <c r="R369" s="5"/>
      <c r="S369" s="5"/>
      <c r="T369" s="5"/>
      <c r="U369" s="5"/>
      <c r="V369" s="5"/>
      <c r="W369" s="5"/>
      <c r="X369" s="5"/>
      <c r="Y369" s="5"/>
      <c r="Z369" s="5"/>
    </row>
    <row r="370" customFormat="false" ht="13.5" hidden="false" customHeight="true" outlineLevel="0" collapsed="false">
      <c r="A370" s="39"/>
      <c r="B370" s="5"/>
      <c r="C370" s="5"/>
      <c r="D370" s="7"/>
      <c r="E370" s="7"/>
      <c r="F370" s="7"/>
      <c r="G370" s="7"/>
      <c r="H370" s="5"/>
      <c r="I370" s="5"/>
      <c r="J370" s="5"/>
      <c r="K370" s="5"/>
      <c r="L370" s="5"/>
      <c r="M370" s="5"/>
      <c r="N370" s="5"/>
      <c r="O370" s="5"/>
      <c r="P370" s="5"/>
      <c r="Q370" s="5"/>
      <c r="R370" s="5"/>
      <c r="S370" s="5"/>
      <c r="T370" s="5"/>
      <c r="U370" s="5"/>
      <c r="V370" s="5"/>
      <c r="W370" s="5"/>
      <c r="X370" s="5"/>
      <c r="Y370" s="5"/>
      <c r="Z370" s="5"/>
    </row>
    <row r="371" customFormat="false" ht="13.5" hidden="false" customHeight="true" outlineLevel="0" collapsed="false">
      <c r="A371" s="39"/>
      <c r="B371" s="5"/>
      <c r="C371" s="5"/>
      <c r="D371" s="7"/>
      <c r="E371" s="7"/>
      <c r="F371" s="7"/>
      <c r="G371" s="7"/>
      <c r="H371" s="5"/>
      <c r="I371" s="5"/>
      <c r="J371" s="5"/>
      <c r="K371" s="5"/>
      <c r="L371" s="5"/>
      <c r="M371" s="5"/>
      <c r="N371" s="5"/>
      <c r="O371" s="5"/>
      <c r="P371" s="5"/>
      <c r="Q371" s="5"/>
      <c r="R371" s="5"/>
      <c r="S371" s="5"/>
      <c r="T371" s="5"/>
      <c r="U371" s="5"/>
      <c r="V371" s="5"/>
      <c r="W371" s="5"/>
      <c r="X371" s="5"/>
      <c r="Y371" s="5"/>
      <c r="Z371" s="5"/>
    </row>
    <row r="372" customFormat="false" ht="13.5" hidden="false" customHeight="true" outlineLevel="0" collapsed="false">
      <c r="A372" s="39"/>
      <c r="B372" s="5"/>
      <c r="C372" s="5"/>
      <c r="D372" s="7"/>
      <c r="E372" s="7"/>
      <c r="F372" s="7"/>
      <c r="G372" s="7"/>
      <c r="H372" s="5"/>
      <c r="I372" s="5"/>
      <c r="J372" s="5"/>
      <c r="K372" s="5"/>
      <c r="L372" s="5"/>
      <c r="M372" s="5"/>
      <c r="N372" s="5"/>
      <c r="O372" s="5"/>
      <c r="P372" s="5"/>
      <c r="Q372" s="5"/>
      <c r="R372" s="5"/>
      <c r="S372" s="5"/>
      <c r="T372" s="5"/>
      <c r="U372" s="5"/>
      <c r="V372" s="5"/>
      <c r="W372" s="5"/>
      <c r="X372" s="5"/>
      <c r="Y372" s="5"/>
      <c r="Z372" s="5"/>
    </row>
    <row r="373" customFormat="false" ht="13.5" hidden="false" customHeight="true" outlineLevel="0" collapsed="false">
      <c r="A373" s="39"/>
      <c r="B373" s="5"/>
      <c r="C373" s="5"/>
      <c r="D373" s="7"/>
      <c r="E373" s="7"/>
      <c r="F373" s="7"/>
      <c r="G373" s="7"/>
      <c r="H373" s="5"/>
      <c r="I373" s="5"/>
      <c r="J373" s="5"/>
      <c r="K373" s="5"/>
      <c r="L373" s="5"/>
      <c r="M373" s="5"/>
      <c r="N373" s="5"/>
      <c r="O373" s="5"/>
      <c r="P373" s="5"/>
      <c r="Q373" s="5"/>
      <c r="R373" s="5"/>
      <c r="S373" s="5"/>
      <c r="T373" s="5"/>
      <c r="U373" s="5"/>
      <c r="V373" s="5"/>
      <c r="W373" s="5"/>
      <c r="X373" s="5"/>
      <c r="Y373" s="5"/>
      <c r="Z373" s="5"/>
    </row>
    <row r="374" customFormat="false" ht="13.5" hidden="false" customHeight="true" outlineLevel="0" collapsed="false">
      <c r="A374" s="39"/>
      <c r="B374" s="5"/>
      <c r="C374" s="5"/>
      <c r="D374" s="7"/>
      <c r="E374" s="7"/>
      <c r="F374" s="7"/>
      <c r="G374" s="7"/>
      <c r="H374" s="5"/>
      <c r="I374" s="5"/>
      <c r="J374" s="5"/>
      <c r="K374" s="5"/>
      <c r="L374" s="5"/>
      <c r="M374" s="5"/>
      <c r="N374" s="5"/>
      <c r="O374" s="5"/>
      <c r="P374" s="5"/>
      <c r="Q374" s="5"/>
      <c r="R374" s="5"/>
      <c r="S374" s="5"/>
      <c r="T374" s="5"/>
      <c r="U374" s="5"/>
      <c r="V374" s="5"/>
      <c r="W374" s="5"/>
      <c r="X374" s="5"/>
      <c r="Y374" s="5"/>
      <c r="Z374" s="5"/>
    </row>
    <row r="375" customFormat="false" ht="13.5" hidden="false" customHeight="true" outlineLevel="0" collapsed="false">
      <c r="A375" s="39"/>
      <c r="B375" s="5"/>
      <c r="C375" s="5"/>
      <c r="D375" s="7"/>
      <c r="E375" s="7"/>
      <c r="F375" s="7"/>
      <c r="G375" s="7"/>
      <c r="H375" s="5"/>
      <c r="I375" s="5"/>
      <c r="J375" s="5"/>
      <c r="K375" s="5"/>
      <c r="L375" s="5"/>
      <c r="M375" s="5"/>
      <c r="N375" s="5"/>
      <c r="O375" s="5"/>
      <c r="P375" s="5"/>
      <c r="Q375" s="5"/>
      <c r="R375" s="5"/>
      <c r="S375" s="5"/>
      <c r="T375" s="5"/>
      <c r="U375" s="5"/>
      <c r="V375" s="5"/>
      <c r="W375" s="5"/>
      <c r="X375" s="5"/>
      <c r="Y375" s="5"/>
      <c r="Z375" s="5"/>
    </row>
    <row r="376" customFormat="false" ht="13.5" hidden="false" customHeight="true" outlineLevel="0" collapsed="false">
      <c r="A376" s="39"/>
      <c r="B376" s="5"/>
      <c r="C376" s="5"/>
      <c r="D376" s="7"/>
      <c r="E376" s="7"/>
      <c r="F376" s="7"/>
      <c r="G376" s="7"/>
      <c r="H376" s="5"/>
      <c r="I376" s="5"/>
      <c r="J376" s="5"/>
      <c r="K376" s="5"/>
      <c r="L376" s="5"/>
      <c r="M376" s="5"/>
      <c r="N376" s="5"/>
      <c r="O376" s="5"/>
      <c r="P376" s="5"/>
      <c r="Q376" s="5"/>
      <c r="R376" s="5"/>
      <c r="S376" s="5"/>
      <c r="T376" s="5"/>
      <c r="U376" s="5"/>
      <c r="V376" s="5"/>
      <c r="W376" s="5"/>
      <c r="X376" s="5"/>
      <c r="Y376" s="5"/>
      <c r="Z376" s="5"/>
    </row>
    <row r="377" customFormat="false" ht="13.5" hidden="false" customHeight="true" outlineLevel="0" collapsed="false">
      <c r="A377" s="39"/>
      <c r="B377" s="5"/>
      <c r="C377" s="5"/>
      <c r="D377" s="7"/>
      <c r="E377" s="7"/>
      <c r="F377" s="7"/>
      <c r="G377" s="7"/>
      <c r="H377" s="5"/>
      <c r="I377" s="5"/>
      <c r="J377" s="5"/>
      <c r="K377" s="5"/>
      <c r="L377" s="5"/>
      <c r="M377" s="5"/>
      <c r="N377" s="5"/>
      <c r="O377" s="5"/>
      <c r="P377" s="5"/>
      <c r="Q377" s="5"/>
      <c r="R377" s="5"/>
      <c r="S377" s="5"/>
      <c r="T377" s="5"/>
      <c r="U377" s="5"/>
      <c r="V377" s="5"/>
      <c r="W377" s="5"/>
      <c r="X377" s="5"/>
      <c r="Y377" s="5"/>
      <c r="Z377" s="5"/>
    </row>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6">
    <mergeCell ref="B1:E1"/>
    <mergeCell ref="B2:E2"/>
    <mergeCell ref="B4:D4"/>
    <mergeCell ref="B5:E5"/>
    <mergeCell ref="F5:G5"/>
    <mergeCell ref="B10:E10"/>
    <mergeCell ref="B14:E14"/>
    <mergeCell ref="B20:E20"/>
    <mergeCell ref="B27:E27"/>
    <mergeCell ref="B31:E31"/>
    <mergeCell ref="B37:E37"/>
    <mergeCell ref="B40:E40"/>
    <mergeCell ref="B41:E41"/>
    <mergeCell ref="B108:E108"/>
    <mergeCell ref="B124:E124"/>
    <mergeCell ref="B139:E139"/>
  </mergeCells>
  <conditionalFormatting sqref="B32:B36">
    <cfRule type="expression" priority="2" aboveAverage="0" equalAverage="0" bottom="0" percent="0" rank="0" text="" dxfId="0">
      <formula>G32=1</formula>
    </cfRule>
  </conditionalFormatting>
  <conditionalFormatting sqref="B38:B39">
    <cfRule type="expression" priority="3" aboveAverage="0" equalAverage="0" bottom="0" percent="0" rank="0" text="" dxfId="0">
      <formula>G38=1</formula>
    </cfRule>
  </conditionalFormatting>
  <conditionalFormatting sqref="B42:B59">
    <cfRule type="expression" priority="4" aboveAverage="0" equalAverage="0" bottom="0" percent="0" rank="0" text="" dxfId="0">
      <formula>$G42="1"</formula>
    </cfRule>
  </conditionalFormatting>
  <conditionalFormatting sqref="B60:B107">
    <cfRule type="expression" priority="5" aboveAverage="0" equalAverage="0" bottom="0" percent="0" rank="0" text="" dxfId="0">
      <formula>G60=1</formula>
    </cfRule>
  </conditionalFormatting>
  <conditionalFormatting sqref="B109:B123">
    <cfRule type="expression" priority="6" aboveAverage="0" equalAverage="0" bottom="0" percent="0" rank="0" text="" dxfId="0">
      <formula>G109=1</formula>
    </cfRule>
  </conditionalFormatting>
  <conditionalFormatting sqref="B125:B138">
    <cfRule type="expression" priority="7" aboveAverage="0" equalAverage="0" bottom="0" percent="0" rank="0" text="" dxfId="0">
      <formula>G126=1</formula>
    </cfRule>
  </conditionalFormatting>
  <conditionalFormatting sqref="B140:B177">
    <cfRule type="expression" priority="8" aboveAverage="0" equalAverage="0" bottom="0" percent="0" rank="0" text="" dxfId="0">
      <formula>G140=1</formula>
    </cfRule>
  </conditionalFormatting>
  <conditionalFormatting sqref="B6:B9">
    <cfRule type="expression" priority="9" aboveAverage="0" equalAverage="0" bottom="0" percent="0" rank="0" text="" dxfId="0">
      <formula>G6=1</formula>
    </cfRule>
  </conditionalFormatting>
  <conditionalFormatting sqref="B11:B13">
    <cfRule type="expression" priority="10" aboveAverage="0" equalAverage="0" bottom="0" percent="0" rank="0" text="" dxfId="0">
      <formula>G11=1</formula>
    </cfRule>
  </conditionalFormatting>
  <conditionalFormatting sqref="B15:B19">
    <cfRule type="expression" priority="11" aboveAverage="0" equalAverage="0" bottom="0" percent="0" rank="0" text="" dxfId="0">
      <formula>G15=1</formula>
    </cfRule>
  </conditionalFormatting>
  <conditionalFormatting sqref="B21:B26">
    <cfRule type="expression" priority="12" aboveAverage="0" equalAverage="0" bottom="0" percent="0" rank="0" text="" dxfId="0">
      <formula>G21=1</formula>
    </cfRule>
  </conditionalFormatting>
  <conditionalFormatting sqref="B28:B30">
    <cfRule type="expression" priority="13" aboveAverage="0" equalAverage="0" bottom="0" percent="0" rank="0" text="" dxfId="0">
      <formula>G28=1</formula>
    </cfRule>
  </conditionalFormatting>
  <printOptions headings="false" gridLines="false" gridLinesSet="true" horizontalCentered="false" verticalCentered="false"/>
  <pageMargins left="0.7" right="0.7" top="1.14375" bottom="1.14375" header="0.511811023622047" footer="0.511811023622047"/>
  <pageSetup paperSize="77" scale="53"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2026-07-31T18:54:33Z</dcterms:created>
  <dc:creator>openpyxl</dc:creator>
  <dc:description/>
  <dc:language>en-US</dc:language>
  <cp:lastModifiedBy>X</cp:lastModifiedBy>
  <dcterms:modified xsi:type="dcterms:W3CDTF">2026-07-31T19:00:25Z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