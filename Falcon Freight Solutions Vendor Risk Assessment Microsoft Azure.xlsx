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amp; Scoring Guide" sheetId="1" state="visible" r:id="rId3"/>
    <sheet name="Vendor Directory" sheetId="2" state="visible" r:id="rId4"/>
    <sheet name="Questionnaire" sheetId="3" state="visible" r:id="rId5"/>
    <sheet name="Scoring Summary" sheetId="4" state="visible" r:id="rId6"/>
    <sheet name="Weighting &amp; Vendor Focus Areas"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<sst xmlns="http://schemas.openxmlformats.org/spreadsheetml/2006/main" count="554" uniqueCount="460">
  <si>
    <t xml:space="preserve">FALCON FREIGHT SOLUTIONS</t>
  </si>
  <si>
    <t xml:space="preserve">Third-Party &amp; Vendor Risk Questionnaire</t>
  </si>
  <si>
    <t xml:space="preserve">Information Security, Data Privacy &amp; Business Continuity Due Diligence Instrument</t>
  </si>
  <si>
    <t xml:space="preserve">CONFIDENTIAL – FOR COMPLETION BY THE NAMED THIRD PARTY / VENDOR</t>
  </si>
  <si>
    <t xml:space="preserve">Issued By</t>
  </si>
  <si>
    <t xml:space="preserve">Falcon Freight Solutions – Group Risk &amp; Compliance</t>
  </si>
  <si>
    <t xml:space="preserve">Document Owner</t>
  </si>
  <si>
    <t xml:space="preserve">Director of IT &amp; Security (CISO-equivalent)</t>
  </si>
  <si>
    <t xml:space="preserve">Version</t>
  </si>
  <si>
    <t xml:space="preserve">1.0</t>
  </si>
  <si>
    <t xml:space="preserve">Issue Date</t>
  </si>
  <si>
    <t xml:space="preserve">30 July 2026</t>
  </si>
  <si>
    <t xml:space="preserve">Response Due</t>
  </si>
  <si>
    <t xml:space="preserve">Within 15 business days of receipt</t>
  </si>
  <si>
    <t xml:space="preserve">Applies To</t>
  </si>
  <si>
    <t xml:space="preserve">All third parties and vendors with access to Falcon Freight Solutions data, systems, or facilities</t>
  </si>
  <si>
    <t xml:space="preserve">How to Use This Questionnaire</t>
  </si>
  <si>
    <t xml:space="preserve">1. Complete the Vendor Profile fields at the top of the 'Questionnaire' tab (legal name, contact, services provided, data handled).</t>
  </si>
  <si>
    <t xml:space="preserve">2. Answer every question using the dropdown in the Response column: Yes / Partial / Compensating Control / No / Not Applicable.</t>
  </si>
  <si>
    <t xml:space="preserve">3. Where you answer 'Partial' or 'No', explain the gap and any compensating control in the Comments column.</t>
  </si>
  <si>
    <t xml:space="preserve">4. Attach or reference supporting evidence (policy, certificate, audit report) in the Evidence Reference column.</t>
  </si>
  <si>
    <t xml:space="preserve">5. Return the completed workbook to your Falcon Freight Solutions relationship owner. Do not alter section headers, question text, or formulas.</t>
  </si>
  <si>
    <t xml:space="preserve">6. Falcon Freight Solutions' Risk &amp; Compliance team will review responses and populate the 'Scoring Summary' tab automatically from your answers.</t>
  </si>
  <si>
    <t xml:space="preserve">Contents</t>
  </si>
  <si>
    <t xml:space="preserve">1. Instructions &amp; Scoring Guide – how responses are scored and rated</t>
  </si>
  <si>
    <t xml:space="preserve">2. Vendor Directory – Falcon Freight Solutions' registered third parties and questionnaire tracking status</t>
  </si>
  <si>
    <t xml:space="preserve">3. Questionnaire – vendor profile plus 76 questions across 12 risk domains</t>
  </si>
  <si>
    <t xml:space="preserve">4. Scoring Summary – auto-calculated section and overall risk rating once completed</t>
  </si>
  <si>
    <t xml:space="preserve">5. Weighting &amp; Vendor Focus Areas – priority domains by vendor type</t>
  </si>
  <si>
    <t xml:space="preserve">SCORING METHODOLOGY</t>
  </si>
  <si>
    <t xml:space="preserve">Each question is answered Yes / Partial / Compensating Control / No / Not Applicable. Responses are converted to points, rolled up into a Section Score (%), then combined into a single weighted Overall Vendor Risk Score (%) using the section weights on the 'Weighting &amp; Vendor Focus Areas' tab. The overall score maps to a risk rating consistent with Falcon Freight Solutions' Enterprise Risk Register rating bands (Low/Medium/High/Critical).</t>
  </si>
  <si>
    <t xml:space="preserve">Response Option</t>
  </si>
  <si>
    <t xml:space="preserve">Interpretation / Required Action</t>
  </si>
  <si>
    <t xml:space="preserve">Yes (2 pts)</t>
  </si>
  <si>
    <t xml:space="preserve">Control is fully implemented and operating effectively. Approve. Standard annual re-assessment cadence.</t>
  </si>
  <si>
    <t xml:space="preserve">Partial / Compensating Control (1 pt)</t>
  </si>
  <si>
    <t xml:space="preserve">Control is partially implemented, or an alternative compensating control is in place. Approve with monitoring. Remediation plan for gaps within 90 days; re-assess in 6 months.</t>
  </si>
  <si>
    <t xml:space="preserve">No (0 pts)</t>
  </si>
  <si>
    <t xml:space="preserve">Control is not implemented. Requires a remediation plan and timeline. Conditional approval. Mandatory remediation plan within 30 days, escalate to Risk &amp; Compliance Committee.</t>
  </si>
  <si>
    <t xml:space="preserve">Not Applicable (excluded)</t>
  </si>
  <si>
    <t xml:space="preserve">Question does not apply to the services provided; excluded from scoring denominator.</t>
  </si>
  <si>
    <t xml:space="preserve">Weighted Score</t>
  </si>
  <si>
    <t xml:space="preserve">Overall Risk Rating</t>
  </si>
  <si>
    <t xml:space="preserve">85% - 100%</t>
  </si>
  <si>
    <t xml:space="preserve">Low Risk</t>
  </si>
  <si>
    <t xml:space="preserve">70% - 84%</t>
  </si>
  <si>
    <t xml:space="preserve">Medium Risk</t>
  </si>
  <si>
    <t xml:space="preserve">50% - 69%</t>
  </si>
  <si>
    <t xml:space="preserve">High Risk</t>
  </si>
  <si>
    <t xml:space="preserve">Below 50%</t>
  </si>
  <si>
    <t xml:space="preserve">Critical Risk</t>
  </si>
  <si>
    <t xml:space="preserve">Note: Sections 2 (Data Privacy), 5 (Data Protection &amp; Cryptography), and 10 (Incident Management) carry the highest weighting (15%, 12%, 12% respectively) reflecting Falcon Freight Solutions' exposure to customer PII, cross-border data transfer obligations under GDPR and South Africa's POPIA, and the criticality of timely breach notification. See the 'Weighting &amp; Vendor Focus Areas' tab for the full weighting table and which domains are the priority focus for each known Falcon Freight Solutions vendor.</t>
  </si>
  <si>
    <t xml:space="preserve">THIRD-PARTY VENDOR DIRECTORY &amp; QUESTIONNAIRE TRACKER</t>
  </si>
  <si>
    <t xml:space="preserve">Registered third parties linked to Falcon Freight Solutions (source: Enterprise Risk Register – Third-Party Vendor Register)</t>
  </si>
  <si>
    <t xml:space="preserve">Vendor ID</t>
  </si>
  <si>
    <t xml:space="preserve">Vendor Name</t>
  </si>
  <si>
    <t xml:space="preserve">Vendor Type</t>
  </si>
  <si>
    <t xml:space="preserve">Services Provided</t>
  </si>
  <si>
    <t xml:space="preserve">Data Types Handled</t>
  </si>
  <si>
    <t xml:space="preserve">Inherent Risk Level</t>
  </si>
  <si>
    <t xml:space="preserve">Risk Owner</t>
  </si>
  <si>
    <t xml:space="preserve">Last Assessment</t>
  </si>
  <si>
    <t xml:space="preserve">Next Assessment</t>
  </si>
  <si>
    <t xml:space="preserve">Questionnaire Status</t>
  </si>
  <si>
    <t xml:space="preserve">Date Issued</t>
  </si>
  <si>
    <t xml:space="preserve">Date Returned</t>
  </si>
  <si>
    <t xml:space="preserve">Overall Score (%)</t>
  </si>
  <si>
    <t xml:space="preserve">Rating</t>
  </si>
  <si>
    <t xml:space="preserve">TPV-001</t>
  </si>
  <si>
    <t xml:space="preserve">Microsoft Azure</t>
  </si>
  <si>
    <t xml:space="preserve">Cloud / SaaS Vendor</t>
  </si>
  <si>
    <t xml:space="preserve">Hosting of cloud-based shipment tracking platform &amp; related infrastructure</t>
  </si>
  <si>
    <t xml:space="preserve">Shipment records; customer PII; geolocation data; system logs</t>
  </si>
  <si>
    <t xml:space="preserve">High</t>
  </si>
  <si>
    <t xml:space="preserve">Cloud Security Architect</t>
  </si>
  <si>
    <t xml:space="preserve">20-Jan-2026</t>
  </si>
  <si>
    <t xml:space="preserve">20-Jan-2027</t>
  </si>
  <si>
    <t xml:space="preserve">Received – Reviewed</t>
  </si>
  <si>
    <t xml:space="preserve">30-Jul-2026</t>
  </si>
  <si>
    <t xml:space="preserve">12-Aug-2026</t>
  </si>
  <si>
    <t xml:space="preserve">TPV-002</t>
  </si>
  <si>
    <t xml:space="preserve">SAP Logistics</t>
  </si>
  <si>
    <t xml:space="preserve">ERP / Warehouse Software Vendor</t>
  </si>
  <si>
    <t xml:space="preserve">Warehouse management and inventory control software platform</t>
  </si>
  <si>
    <t xml:space="preserve">Inventory logs; shipment manifests; supplier records</t>
  </si>
  <si>
    <t xml:space="preserve">Medium</t>
  </si>
  <si>
    <t xml:space="preserve">Director of IT &amp; Security</t>
  </si>
  <si>
    <t xml:space="preserve">05-Apr-2026</t>
  </si>
  <si>
    <t xml:space="preserve">05-Apr-2027</t>
  </si>
  <si>
    <t xml:space="preserve">Not Sent</t>
  </si>
  <si>
    <t xml:space="preserve">TPV-003</t>
  </si>
  <si>
    <t xml:space="preserve">DHL Partner Services</t>
  </si>
  <si>
    <t xml:space="preserve">Delivery / Logistics Subcontractor</t>
  </si>
  <si>
    <t xml:space="preserve">Last-mile package delivery and driver tracking services</t>
  </si>
  <si>
    <t xml:space="preserve">Customer names; delivery addresses; phone numbers; geolocation logs</t>
  </si>
  <si>
    <t xml:space="preserve">VP of Supply Chain &amp; Logistics</t>
  </si>
  <si>
    <t xml:space="preserve">10-May-2026</t>
  </si>
  <si>
    <t xml:space="preserve">10-May-2027</t>
  </si>
  <si>
    <t xml:space="preserve">TPV-004</t>
  </si>
  <si>
    <t xml:space="preserve">PayFast Payment Gateway</t>
  </si>
  <si>
    <t xml:space="preserve">Payment Processing Provider</t>
  </si>
  <si>
    <t xml:space="preserve">Online payment processing for freight and customs invoicing</t>
  </si>
  <si>
    <t xml:space="preserve">Payment card data; transaction records; billing PII</t>
  </si>
  <si>
    <t xml:space="preserve">Head of Legal &amp; Compliance</t>
  </si>
  <si>
    <t xml:space="preserve">15-Feb-2026</t>
  </si>
  <si>
    <t xml:space="preserve">15-Feb-2027</t>
  </si>
  <si>
    <t xml:space="preserve">TPV-005</t>
  </si>
  <si>
    <t xml:space="preserve">SecureNet IT Services</t>
  </si>
  <si>
    <t xml:space="preserve">Managed IT / Security Services Provider</t>
  </si>
  <si>
    <t xml:space="preserve">Outsourced network monitoring, helpdesk, and security operations support</t>
  </si>
  <si>
    <t xml:space="preserve">System credentials; network configuration data; access logs</t>
  </si>
  <si>
    <t xml:space="preserve">12-Sep-2025</t>
  </si>
  <si>
    <t xml:space="preserve">12-Sep-2026</t>
  </si>
  <si>
    <t xml:space="preserve">Instructions: issue a copy of the 'Questionnaire' tab to each vendor below. When a response is returned, transfer the vendor's answers into a dedicated copy of this workbook, record the resulting Overall Score and Rating from the 'Scoring Summary' tab into columns M–N above, and update Questionnaire Status accordingly.</t>
  </si>
  <si>
    <t xml:space="preserve">FALCON FREIGHT SOLUTIONS – THIRD-PARTY &amp; VENDOR RISK QUESTIONNAIRE</t>
  </si>
  <si>
    <t xml:space="preserve">SECTION 0 – VENDOR &amp; ENGAGEMENT PROFILE (to be completed by the vendor)</t>
  </si>
  <si>
    <t xml:space="preserve">Vendor Legal Name</t>
  </si>
  <si>
    <t xml:space="preserve">Microsoft Ireland Operations Limited, trading as Microsoft Azure</t>
  </si>
  <si>
    <t xml:space="preserve">Registered Address / HQ Location</t>
  </si>
  <si>
    <t xml:space="preserve">Global HQ: One Microsoft Way, Redmond, Washington, USA. EMEA/Africa operations: One Microsoft Place, Dublin, Ireland</t>
  </si>
  <si>
    <t xml:space="preserve">Primary Contact (Name, Title, Email, Phone)</t>
  </si>
  <si>
    <t xml:space="preserve">Thandiwe Mokoena, Enterprise Account Manager – Azure Africa, [email protected], +27 11 245 0000</t>
  </si>
  <si>
    <t xml:space="preserve">Vendor Type (Delivery Fleet / Brokerage / SaaS-Cloud / Integration Partner / Facility-Warehousing / Other)</t>
  </si>
  <si>
    <t xml:space="preserve">SaaS-Cloud</t>
  </si>
  <si>
    <t xml:space="preserve">Services Provided to Falcon Freight Solutions</t>
  </si>
  <si>
    <t xml:space="preserve">Hosting of Falcon Freight Solutions' cloud-based shipment tracking platform, including compute, storage, networking and platform security services</t>
  </si>
  <si>
    <t xml:space="preserve">Data Types Handled on Falcon Freight Solutions' Behalf</t>
  </si>
  <si>
    <t xml:space="preserve">Shipment records; customer PII; geolocation data; system/application logs</t>
  </si>
  <si>
    <t xml:space="preserve">Data Residency / Hosting Location(s)</t>
  </si>
  <si>
    <t xml:space="preserve">Primary: Azure South Africa North (Johannesburg); Secondary/DR: Azure West Europe (Netherlands)</t>
  </si>
  <si>
    <t xml:space="preserve">Years Providing This Service to Falcon Freight Solutions</t>
  </si>
  <si>
    <t xml:space="preserve">4 years</t>
  </si>
  <si>
    <t xml:space="preserve">Number of Personnel with Access to Falcon Freight Solutions Data/Systems</t>
  </si>
  <si>
    <t xml:space="preserve">No standing Microsoft personnel access to customer data; access is limited to just-in-time, customer-approved sessions (Customer Lockbox) for support purposes only</t>
  </si>
  <si>
    <t xml:space="preserve">Do You Use Subcontractors / Fourth Parties for This Engagement? (Y/N – detail if yes)</t>
  </si>
  <si>
    <t xml:space="preserve">Yes – Microsoft uses a global network of subprocessors for datacenter operations and support services, disclosed via the Microsoft Online Services Subprocessor List</t>
  </si>
  <si>
    <t xml:space="preserve">Applicable Regulatory Frameworks (GDPR, POPIA – South Africa, other)</t>
  </si>
  <si>
    <t xml:space="preserve">GDPR, POPIA (South Africa), ISO/IEC 27701, PCI DSS</t>
  </si>
  <si>
    <t xml:space="preserve">Relevant Certifications Held (ISO 27001, SOC 2 Type II, PCI DSS, other)</t>
  </si>
  <si>
    <t xml:space="preserve">ISO/IEC 27001:2022, ISO/IEC 27017, ISO/IEC 27018, SOC 2 Type II, PCI DSS Level 1 Service Provider</t>
  </si>
  <si>
    <t xml:space="preserve">Questionnaire Completed By (Name, Title, Date)</t>
  </si>
  <si>
    <t xml:space="preserve">Priya Naidoo, Enterprise Compliance Manager, Azure Compliance Team, 12 August 2026</t>
  </si>
  <si>
    <t xml:space="preserve">Q#</t>
  </si>
  <si>
    <t xml:space="preserve">Question</t>
  </si>
  <si>
    <t xml:space="preserve">Response</t>
  </si>
  <si>
    <t xml:space="preserve">Points</t>
  </si>
  <si>
    <t xml:space="preserve">Evidence Reference</t>
  </si>
  <si>
    <t xml:space="preserve">Comments / Compensating Control</t>
  </si>
  <si>
    <t xml:space="preserve">S1 – Corporate Governance &amp; Certifications (Weight: 5%)</t>
  </si>
  <si>
    <t xml:space="preserve">1.1</t>
  </si>
  <si>
    <t xml:space="preserve">Does your organization maintain a formally documented Information Security Policy approved by senior management?</t>
  </si>
  <si>
    <t xml:space="preserve">Yes</t>
  </si>
  <si>
    <t xml:space="preserve">Microsoft Information Security Policy summary – Service Trust Portal</t>
  </si>
  <si>
    <t xml:space="preserve">1.2</t>
  </si>
  <si>
    <t xml:space="preserve">Do you hold a current ISO/IEC 27001 certification or equivalent (attach certificate / scope statement)?</t>
  </si>
  <si>
    <t xml:space="preserve">ISO/IEC 27001:2022 certificate &amp; Statement of Applicability – Service Trust Portal</t>
  </si>
  <si>
    <t xml:space="preserve">1.3</t>
  </si>
  <si>
    <t xml:space="preserve">Do you undergo an annual independent security audit (e.g., SOC 2 Type II, penetration test)?</t>
  </si>
  <si>
    <t xml:space="preserve">SOC 2 Type II report (semi-annual) – Service Trust Portal, NDA required</t>
  </si>
  <si>
    <t xml:space="preserve">1.4</t>
  </si>
  <si>
    <t xml:space="preserve">Is there a named executive or individual accountable for information security (CISO or equivalent)?</t>
  </si>
  <si>
    <t xml:space="preserve">Microsoft CISO organization chart – Service Trust Portal</t>
  </si>
  <si>
    <t xml:space="preserve">1.5</t>
  </si>
  <si>
    <t xml:space="preserve">Do you maintain cyber liability / errors &amp; omissions insurance covering data breach events?</t>
  </si>
  <si>
    <t xml:space="preserve">Certificate of cyber/E&amp;O insurance available on request</t>
  </si>
  <si>
    <t xml:space="preserve">Section Score – Corporate Governance &amp; Certifications</t>
  </si>
  <si>
    <t xml:space="preserve">S2 – Data Privacy &amp; Regulatory Compliance (Weight: 15%)</t>
  </si>
  <si>
    <t xml:space="preserve">2.1</t>
  </si>
  <si>
    <t xml:space="preserve">Do you process personal data on behalf of Falcon Freight Solutions (customer, employee, or driver data)?</t>
  </si>
  <si>
    <t xml:space="preserve">Microsoft Online Services Terms – Data Processing Addendum</t>
  </si>
  <si>
    <t xml:space="preserve">2.2</t>
  </si>
  <si>
    <t xml:space="preserve">Have you conducted a Data Protection Impact Assessment (DPIA) for the services provided to Falcon Freight Solutions?</t>
  </si>
  <si>
    <t xml:space="preserve">Partial</t>
  </si>
  <si>
    <t xml:space="preserve">Microsoft DPIA support documentation – Service Trust Portal</t>
  </si>
  <si>
    <t xml:space="preserve">Microsoft provides tooling, documentation and audit reports to support customer DPIAs; a bespoke DPIA for the FFS tracking-platform deployment has not been separately produced. Recommend FFS's own DPIA is completed using Microsoft's supporting evidence.</t>
  </si>
  <si>
    <t xml:space="preserve">2.3</t>
  </si>
  <si>
    <t xml:space="preserve">Do you have a documented lawful basis and a signed Data Processing Agreement (DPA) in place with Falcon Freight Solutions?</t>
  </si>
  <si>
    <t xml:space="preserve">Microsoft Product Terms – Online Services DPA (signed as part of Enterprise Agreement)</t>
  </si>
  <si>
    <t xml:space="preserve">2.4</t>
  </si>
  <si>
    <t xml:space="preserve">Are cross-border data transfers governed by Standard Contractual Clauses or an equivalent transfer mechanism?</t>
  </si>
  <si>
    <t xml:space="preserve">EU Standard Contractual Clauses incorporated in Microsoft Product Terms</t>
  </si>
  <si>
    <t xml:space="preserve">2.5</t>
  </si>
  <si>
    <t xml:space="preserve">Do you comply with the Protection of Personal Information Act (POPIA, South Africa) and/or GDPR, as applicable to your operations?</t>
  </si>
  <si>
    <t xml:space="preserve">POPIA/GDPR compliance statements – Microsoft Trust Center</t>
  </si>
  <si>
    <t xml:space="preserve">2.6</t>
  </si>
  <si>
    <t xml:space="preserve">Do you have a documented data retention and secure deletion schedule for Falcon Freight Solutions data?</t>
  </si>
  <si>
    <t xml:space="preserve">Azure Data Retention/Lifecycle Management documentation</t>
  </si>
  <si>
    <t xml:space="preserve">Retention and secure-deletion capability is provided (e.g. Storage lifecycle policies), but the retention schedule itself is configured and owned by Falcon Freight Solutions, not Microsoft.</t>
  </si>
  <si>
    <t xml:space="preserve">2.7</t>
  </si>
  <si>
    <t xml:space="preserve">Can you support Falcon Freight Solutions' obligations to fulfil data subject access, correction, and deletion requests within statutory timeframes?</t>
  </si>
  <si>
    <t xml:space="preserve">Microsoft Data Subject Request (DSR) portal and guidance documentation</t>
  </si>
  <si>
    <t xml:space="preserve">2.8</t>
  </si>
  <si>
    <t xml:space="preserve">Do you notify Falcon Freight Solutions of any regulatory inquiry or investigation involving data processed on its behalf?</t>
  </si>
  <si>
    <t xml:space="preserve">Data Processing Addendum – regulatory inquiry notification clause</t>
  </si>
  <si>
    <t xml:space="preserve">Section Score – Data Privacy &amp; Regulatory Compliance</t>
  </si>
  <si>
    <t xml:space="preserve">S3 – Information Security Policy &amp; Governance (Weight: 5%)</t>
  </si>
  <si>
    <t xml:space="preserve">3.1</t>
  </si>
  <si>
    <t xml:space="preserve">Are information security roles and responsibilities formally defined and communicated?</t>
  </si>
  <si>
    <t xml:space="preserve">Microsoft security organization structure – Service Trust Portal</t>
  </si>
  <si>
    <t xml:space="preserve">3.2</t>
  </si>
  <si>
    <t xml:space="preserve">Do all personnel with access to Falcon Freight Solutions data undergo background verification checks prior to hire?</t>
  </si>
  <si>
    <t xml:space="preserve">Microsoft HR background screening policy summary</t>
  </si>
  <si>
    <t xml:space="preserve">3.3</t>
  </si>
  <si>
    <t xml:space="preserve">Do personnel receive mandatory security awareness training, including phishing simulation, at least annually?</t>
  </si>
  <si>
    <t xml:space="preserve">Microsoft mandatory security training completion records (attestation)</t>
  </si>
  <si>
    <t xml:space="preserve">3.4</t>
  </si>
  <si>
    <t xml:space="preserve">Do personnel sign confidentiality / non-disclosure agreements covering Falcon Freight Solutions data?</t>
  </si>
  <si>
    <t xml:space="preserve">Standard Microsoft employment confidentiality terms</t>
  </si>
  <si>
    <t xml:space="preserve">3.5</t>
  </si>
  <si>
    <t xml:space="preserve">Is there a formal disciplinary process for information security policy violations?</t>
  </si>
  <si>
    <t xml:space="preserve">Microsoft Standards of Business Conduct / disciplinary policy</t>
  </si>
  <si>
    <t xml:space="preserve">3.6</t>
  </si>
  <si>
    <t xml:space="preserve">Are security responsibilities that survive termination of employment defined and enforced?</t>
  </si>
  <si>
    <t xml:space="preserve">Microsoft HR offboarding and post-termination security policy</t>
  </si>
  <si>
    <t xml:space="preserve">Section Score – Information Security Policy &amp; Governance</t>
  </si>
  <si>
    <t xml:space="preserve">S4 – Access Control &amp; Identity Management (Weight: 10%)</t>
  </si>
  <si>
    <t xml:space="preserve">4.1</t>
  </si>
  <si>
    <t xml:space="preserve">Is access to systems/data processing Falcon Freight Solutions information restricted on a least-privilege, need-to-know basis?</t>
  </si>
  <si>
    <t xml:space="preserve">Microsoft internal access control policy – least privilege model</t>
  </si>
  <si>
    <t xml:space="preserve">4.2</t>
  </si>
  <si>
    <t xml:space="preserve">Is multi-factor authentication (MFA) enforced for all remote and administrative access?</t>
  </si>
  <si>
    <t xml:space="preserve">Azure AD / Entra ID Conditional Access documentation</t>
  </si>
  <si>
    <t xml:space="preserve">Microsoft enforces MFA for its own administrative access to the Azure platform. MFA enforcement for Falcon Freight Solutions' own tenant admin and user accounts is configured by Falcon Freight Solutions within Entra ID and is not currently confirmed as enforced for all admin accounts - recommended follow-up with FFS IT.</t>
  </si>
  <si>
    <t xml:space="preserve">4.3</t>
  </si>
  <si>
    <t xml:space="preserve">Are user access rights reviewed and recertified at least quarterly?</t>
  </si>
  <si>
    <t xml:space="preserve">Internal access recertification records (attestation)</t>
  </si>
  <si>
    <t xml:space="preserve">4.4</t>
  </si>
  <si>
    <t xml:space="preserve">Are access rights revoked within 24 hours of employee termination or role change?</t>
  </si>
  <si>
    <t xml:space="preserve">Microsoft joiner/mover/leaver access de-provisioning SLA documentation</t>
  </si>
  <si>
    <t xml:space="preserve">4.5</t>
  </si>
  <si>
    <t xml:space="preserve">Is privileged/administrative access logged and independently reviewed?</t>
  </si>
  <si>
    <t xml:space="preserve">Privileged Identity Management (PIM) audit logs – sample provided</t>
  </si>
  <si>
    <t xml:space="preserve">4.6</t>
  </si>
  <si>
    <t xml:space="preserve">Do you enforce a documented password policy (minimum length, complexity, rotation)?</t>
  </si>
  <si>
    <t xml:space="preserve">Microsoft internal password/authentication standard</t>
  </si>
  <si>
    <t xml:space="preserve">4.7</t>
  </si>
  <si>
    <t xml:space="preserve">Is access to Falcon Freight Solutions data restricted to personnel located in approved jurisdictions?</t>
  </si>
  <si>
    <t xml:space="preserve">Customer Lockbox / support access approval workflow documentation</t>
  </si>
  <si>
    <t xml:space="preserve">Support engineer access is approval-gated (Customer Lockbox) but Microsoft's global support model means on-call engineers may be located in multiple jurisdictions; strict jurisdiction-restricted access is not guaranteed by default.</t>
  </si>
  <si>
    <t xml:space="preserve">Section Score – Access Control &amp; Identity Management</t>
  </si>
  <si>
    <t xml:space="preserve">S5 – Data Protection &amp; Cryptography (Weight: 12%)</t>
  </si>
  <si>
    <t xml:space="preserve">5.1</t>
  </si>
  <si>
    <t xml:space="preserve">Is Falcon Freight Solutions data encrypted at rest using industry-standard algorithms (e.g., AES-256)?</t>
  </si>
  <si>
    <t xml:space="preserve">Azure Storage Service Encryption documentation (AES-256)</t>
  </si>
  <si>
    <t xml:space="preserve">5.2</t>
  </si>
  <si>
    <t xml:space="preserve">Is Falcon Freight Solutions data encrypted in transit using TLS 1.2 or higher?</t>
  </si>
  <si>
    <t xml:space="preserve">Azure TLS 1.2+ enforcement documentation</t>
  </si>
  <si>
    <t xml:space="preserve">5.3</t>
  </si>
  <si>
    <t xml:space="preserve">Are cryptographic keys managed through a documented key management process, including periodic rotation?</t>
  </si>
  <si>
    <t xml:space="preserve">Azure Key Vault key management and rotation documentation</t>
  </si>
  <si>
    <t xml:space="preserve">5.4</t>
  </si>
  <si>
    <t xml:space="preserve">Is sensitive data (e.g., customer PII, geolocation, financial/trade documents) masked or tokenized in non-production environments?</t>
  </si>
  <si>
    <t xml:space="preserve">Azure SQL Dynamic Data Masking feature documentation</t>
  </si>
  <si>
    <t xml:space="preserve">Data masking/tokenization capability is available (e.g. Dynamic Data Masking, Always Encrypted) but must be explicitly configured on the databases underlying the FFS tracking platform; current configuration status has not been confirmed.</t>
  </si>
  <si>
    <t xml:space="preserve">5.5</t>
  </si>
  <si>
    <t xml:space="preserve">Are mobile applications or driver-facing tools configured to prevent unauthorized screen capture or data export?</t>
  </si>
  <si>
    <t xml:space="preserve">Not Applicable</t>
  </si>
  <si>
    <t xml:space="preserve">The driver-facing mobile tracking application is developed and controlled by Falcon Freight Solutions (or its app development vendor), not Microsoft Azure; this control sits outside Azure's infrastructure-hosting scope.</t>
  </si>
  <si>
    <t xml:space="preserve">5.6</t>
  </si>
  <si>
    <t xml:space="preserve">Is data loss prevention (DLP) tooling deployed to detect/prevent unauthorized exfiltration of Falcon Freight Solutions data?</t>
  </si>
  <si>
    <t xml:space="preserve">Microsoft Purview DLP capability overview</t>
  </si>
  <si>
    <t xml:space="preserve">Data loss prevention tooling (Microsoft Purview) is available on the platform but must be licensed and configured by Falcon Freight Solutions for its own data estate; FFS confirmed this has not yet been enabled.</t>
  </si>
  <si>
    <t xml:space="preserve">5.7</t>
  </si>
  <si>
    <t xml:space="preserve">Are backups of Falcon Freight Solutions data encrypted and tested for recoverability at least annually?</t>
  </si>
  <si>
    <t xml:space="preserve">Azure Backup encryption and recovery-testing documentation</t>
  </si>
  <si>
    <t xml:space="preserve">Section Score – Data Protection &amp; Cryptography</t>
  </si>
  <si>
    <t xml:space="preserve">S6 – Network &amp; Application / API Security (Weight: 10%)</t>
  </si>
  <si>
    <t xml:space="preserve">6.1</t>
  </si>
  <si>
    <t xml:space="preserve">Are all external-facing systems and APIs protected by a firewall and/or web application firewall (WAF)?</t>
  </si>
  <si>
    <t xml:space="preserve">Azure Firewall / Front Door WAF configuration summary for FFS environment</t>
  </si>
  <si>
    <t xml:space="preserve">6.2</t>
  </si>
  <si>
    <t xml:space="preserve">Are penetration tests or vulnerability assessments performed on systems handling Falcon Freight Solutions data at least annually?</t>
  </si>
  <si>
    <t xml:space="preserve">Microsoft continuous platform penetration testing summary – Service Trust Portal</t>
  </si>
  <si>
    <t xml:space="preserve">Platform-level testing is continuous; application-layer testing of the FFS tracking platform itself remains a shared responsibility with FFS's application vendor.</t>
  </si>
  <si>
    <t xml:space="preserve">6.3</t>
  </si>
  <si>
    <t xml:space="preserve">Is a formal patch management process in place, with critical vulnerabilities remediated within a defined SLA?</t>
  </si>
  <si>
    <t xml:space="preserve">Azure patch management / critical vulnerability SLA documentation</t>
  </si>
  <si>
    <t xml:space="preserve">6.4</t>
  </si>
  <si>
    <t xml:space="preserve">Are APIs secured with authentication (API keys / OAuth) and rate limiting?</t>
  </si>
  <si>
    <t xml:space="preserve">Azure API Management authentication and throttling configuration</t>
  </si>
  <si>
    <t xml:space="preserve">6.5</t>
  </si>
  <si>
    <t xml:space="preserve">Is API key / credential rotation performed on a defined schedule (e.g., every 90 days)?</t>
  </si>
  <si>
    <t xml:space="preserve">Azure Key Vault key-rotation policy</t>
  </si>
  <si>
    <t xml:space="preserve">Automated rotation capability exists via Key Vault policies, but the 90-day rotation schedule has not been confirmed as enabled for all API keys/credentials used in the FFS integration.</t>
  </si>
  <si>
    <t xml:space="preserve">6.6</t>
  </si>
  <si>
    <t xml:space="preserve">Is network traffic segmented to isolate systems processing Falcon Freight Solutions data from other environments?</t>
  </si>
  <si>
    <t xml:space="preserve">Azure Virtual Network segmentation design for FFS subscription</t>
  </si>
  <si>
    <t xml:space="preserve">6.7</t>
  </si>
  <si>
    <t xml:space="preserve">Are anomalous network or application activities monitored and alerted in real time?</t>
  </si>
  <si>
    <t xml:space="preserve">Microsoft Defender for Cloud / Sentinel monitoring configuration</t>
  </si>
  <si>
    <t xml:space="preserve">Section Score – Network &amp; Application / API Security</t>
  </si>
  <si>
    <t xml:space="preserve">S7 – Endpoint, Cloud &amp; Infrastructure Security (Weight: 8%)</t>
  </si>
  <si>
    <t xml:space="preserve">7.1</t>
  </si>
  <si>
    <t xml:space="preserve">Are endpoint devices accessing Falcon Freight Solutions data protected with anti-malware / EDR tooling?</t>
  </si>
  <si>
    <t xml:space="preserve">Microsoft corporate endpoint protection (Defender for Endpoint) attestation</t>
  </si>
  <si>
    <t xml:space="preserve">7.2</t>
  </si>
  <si>
    <t xml:space="preserve">Are mobile devices used to access Falcon Freight Solutions data managed via a Mobile Device Management (MDM) solution?</t>
  </si>
  <si>
    <t xml:space="preserve">Microsoft Intune MDM enrolment policy</t>
  </si>
  <si>
    <t xml:space="preserve">7.3</t>
  </si>
  <si>
    <t xml:space="preserve">Is centralized logging (SIEM or equivalent) in place to capture security-relevant events?</t>
  </si>
  <si>
    <t xml:space="preserve">Microsoft internal SIEM (Sentinel) logging architecture summary</t>
  </si>
  <si>
    <t xml:space="preserve">7.4</t>
  </si>
  <si>
    <t xml:space="preserve">Are system configurations hardened and benchmarked against an industry standard (e.g., CIS Benchmarks)?</t>
  </si>
  <si>
    <t xml:space="preserve">CIS Benchmark alignment attestation – Service Trust Portal</t>
  </si>
  <si>
    <t xml:space="preserve">7.5</t>
  </si>
  <si>
    <t xml:space="preserve">If cloud-hosted, do you provide an independent SOC 2 Type II report or equivalent for the hosting environment?</t>
  </si>
  <si>
    <t xml:space="preserve">SOC 2 Type II report covering Azure hosting environment</t>
  </si>
  <si>
    <t xml:space="preserve">7.6</t>
  </si>
  <si>
    <t xml:space="preserve">Is infrastructure capacity monitored to ensure availability of services relied upon by Falcon Freight Solutions?</t>
  </si>
  <si>
    <t xml:space="preserve">Azure capacity management and autoscaling documentation</t>
  </si>
  <si>
    <t xml:space="preserve">7.7</t>
  </si>
  <si>
    <t xml:space="preserve">Are any legacy or unsupported systems used to process Falcon Freight Solutions data – and if so, are compensating controls documented?</t>
  </si>
  <si>
    <t xml:space="preserve">No legacy or unsupported platform components are used to host the Falcon Freight Solutions workload; Azure infrastructure services are maintained on current supported versions.</t>
  </si>
  <si>
    <t xml:space="preserve">Section Score – Endpoint, Cloud &amp; Infrastructure Security</t>
  </si>
  <si>
    <t xml:space="preserve">S8 – Physical &amp; Environmental Security (Weight: 6%)</t>
  </si>
  <si>
    <t xml:space="preserve">8.1</t>
  </si>
  <si>
    <t xml:space="preserve">Are facilities storing Falcon Freight Solutions data or inventory protected by defined security perimeters and access controls?</t>
  </si>
  <si>
    <t xml:space="preserve">Azure datacenter physical security overview – Service Trust Portal</t>
  </si>
  <si>
    <t xml:space="preserve">8.2</t>
  </si>
  <si>
    <t xml:space="preserve">Is physical access to secure areas logged and restricted to authorized personnel (e.g., badge / biometric)?</t>
  </si>
  <si>
    <t xml:space="preserve">Datacenter badge/biometric access control documentation</t>
  </si>
  <si>
    <t xml:space="preserve">8.3</t>
  </si>
  <si>
    <t xml:space="preserve">Is CCTV monitoring in place, with footage retained for a minimum of 90 days?</t>
  </si>
  <si>
    <t xml:space="preserve">Datacenter CCTV retention policy (90+ days)</t>
  </si>
  <si>
    <t xml:space="preserve">8.4</t>
  </si>
  <si>
    <t xml:space="preserve">Are environmental controls (fire suppression, power backup, flood protection) in place for facilities hosting Falcon Freight Solutions data/systems?</t>
  </si>
  <si>
    <t xml:space="preserve">Datacenter environmental controls documentation (fire suppression, power, flood)</t>
  </si>
  <si>
    <t xml:space="preserve">8.5</t>
  </si>
  <si>
    <t xml:space="preserve">Is media / equipment securely sanitized or destroyed prior to disposal or reuse?</t>
  </si>
  <si>
    <t xml:space="preserve">Media sanitization/destruction procedure documentation (NIST 800-88 aligned)</t>
  </si>
  <si>
    <t xml:space="preserve">8.6</t>
  </si>
  <si>
    <t xml:space="preserve">Are visitors to secure facilities logged and escorted?</t>
  </si>
  <si>
    <t xml:space="preserve">Datacenter visitor management procedure</t>
  </si>
  <si>
    <t xml:space="preserve">Section Score – Physical &amp; Environmental Security</t>
  </si>
  <si>
    <t xml:space="preserve">S9 – Business Continuity &amp; Disaster Recovery (Weight: 7%)</t>
  </si>
  <si>
    <t xml:space="preserve">9.1</t>
  </si>
  <si>
    <t xml:space="preserve">Do you maintain a documented Business Continuity Plan (BCP) covering services provided to Falcon Freight Solutions?</t>
  </si>
  <si>
    <t xml:space="preserve">Microsoft Business Continuity Plan summary – Service Trust Portal</t>
  </si>
  <si>
    <t xml:space="preserve">9.2</t>
  </si>
  <si>
    <t xml:space="preserve">Do you maintain a documented Disaster Recovery Plan (DRP) with defined RTO/RPO for Falcon Freight Solutions-relevant systems?</t>
  </si>
  <si>
    <t xml:space="preserve">Azure region-pair Disaster Recovery documentation with published RTO/RPO</t>
  </si>
  <si>
    <t xml:space="preserve">9.3</t>
  </si>
  <si>
    <t xml:space="preserve">Is the BCP/DRP tested at least annually, with results available on request?</t>
  </si>
  <si>
    <t xml:space="preserve">Annual DR/BCP test attestation – Service Trust Portal</t>
  </si>
  <si>
    <t xml:space="preserve">9.4</t>
  </si>
  <si>
    <t xml:space="preserve">Are backups stored offsite or in a geographically separate location, with immutability protections?</t>
  </si>
  <si>
    <t xml:space="preserve">Azure Backup geo-redundant storage (GRS) and immutable vault documentation</t>
  </si>
  <si>
    <t xml:space="preserve">9.5</t>
  </si>
  <si>
    <t xml:space="preserve">Have you experienced a service disruption affecting Falcon Freight Solutions in the past 24 months? (detail in comments if yes)</t>
  </si>
  <si>
    <t xml:space="preserve">No</t>
  </si>
  <si>
    <t xml:space="preserve">Azure Status History – region availability records</t>
  </si>
  <si>
    <t xml:space="preserve">No service disruption affecting the Falcon Freight Solutions tracking platform has been recorded in the past 24 months.</t>
  </si>
  <si>
    <t xml:space="preserve">9.6</t>
  </si>
  <si>
    <t xml:space="preserve">Is a redundant / failover architecture in place for services critical to Falcon Freight Solutions' operations?</t>
  </si>
  <si>
    <t xml:space="preserve">Azure availability zone / paired-region failover architecture for FFS deployment</t>
  </si>
  <si>
    <t xml:space="preserve">Section Score – Business Continuity &amp; Disaster Recovery</t>
  </si>
  <si>
    <t xml:space="preserve">S10 – Incident Management &amp; Breach Notification (Weight: 12%)</t>
  </si>
  <si>
    <t xml:space="preserve">10.1</t>
  </si>
  <si>
    <t xml:space="preserve">Do you maintain a documented Incident Response Plan (IRP)?</t>
  </si>
  <si>
    <t xml:space="preserve">Microsoft Security Incident Response Plan summary</t>
  </si>
  <si>
    <t xml:space="preserve">10.2</t>
  </si>
  <si>
    <t xml:space="preserve">Is there a 24/7 point of contact for reporting suspected security incidents involving Falcon Freight Solutions data?</t>
  </si>
  <si>
    <t xml:space="preserve">24/7 Azure support / security incident reporting channel details</t>
  </si>
  <si>
    <t xml:space="preserve">10.3</t>
  </si>
  <si>
    <t xml:space="preserve">Will you notify Falcon Freight Solutions within 24 hours of confirming a security incident affecting its data?</t>
  </si>
  <si>
    <t xml:space="preserve">Microsoft Online Services Terms – security incident notification clause</t>
  </si>
  <si>
    <t xml:space="preserve">Microsoft's standard contractual commitment is to notify affected customers "without undue delay" rather than a firm 24-hour SLA; a specific 24-hour notification commitment for FFS would require a contractual addendum.</t>
  </si>
  <si>
    <t xml:space="preserve">10.4</t>
  </si>
  <si>
    <t xml:space="preserve">Can you support Falcon Freight Solutions' regulatory breach notification obligations (e.g., POPIA / GDPR 72-hour requirement)?</t>
  </si>
  <si>
    <t xml:space="preserve">Data Processing Addendum – regulatory breach notification support clause</t>
  </si>
  <si>
    <t xml:space="preserve">10.5</t>
  </si>
  <si>
    <t xml:space="preserve">Do you conduct root cause analysis and post-incident reviews following security incidents?</t>
  </si>
  <si>
    <t xml:space="preserve">Post-incident review process documentation (internal)</t>
  </si>
  <si>
    <t xml:space="preserve">10.6</t>
  </si>
  <si>
    <t xml:space="preserve">Have you experienced a confirmed data breach in the past 24 months? (detail remediation in comments if yes)</t>
  </si>
  <si>
    <t xml:space="preserve">Azure Trust Center – no reported breach affecting customer data</t>
  </si>
  <si>
    <t xml:space="preserve">No confirmed data breach affecting Falcon Freight Solutions data has occurred in the past 24 months.</t>
  </si>
  <si>
    <t xml:space="preserve">10.7</t>
  </si>
  <si>
    <t xml:space="preserve">Do you maintain forensic evidence preservation procedures to support incident investigation?</t>
  </si>
  <si>
    <t xml:space="preserve">Digital forensics and evidence preservation procedure summary</t>
  </si>
  <si>
    <t xml:space="preserve">Section Score – Incident Management &amp; Breach Notification</t>
  </si>
  <si>
    <t xml:space="preserve">S11 – Subcontractor / Fourth-Party Risk Management (Weight: 6%)</t>
  </si>
  <si>
    <t xml:space="preserve">11.1</t>
  </si>
  <si>
    <t xml:space="preserve">Do you use subcontractors or fourth parties to deliver services to Falcon Freight Solutions?</t>
  </si>
  <si>
    <t xml:space="preserve">Microsoft Online Services Subprocessor List</t>
  </si>
  <si>
    <t xml:space="preserve">11.2</t>
  </si>
  <si>
    <t xml:space="preserve">Are fourth parties contractually bound to equivalent information security and data protection obligations?</t>
  </si>
  <si>
    <t xml:space="preserve">Subprocessor contractual flow-down obligations – Microsoft Product Terms</t>
  </si>
  <si>
    <t xml:space="preserve">11.3</t>
  </si>
  <si>
    <t xml:space="preserve">Do you conduct security due diligence / assessments of your own subcontractors?</t>
  </si>
  <si>
    <t xml:space="preserve">Microsoft third-party/subprocessor risk assessment programme summary</t>
  </si>
  <si>
    <t xml:space="preserve">11.4</t>
  </si>
  <si>
    <t xml:space="preserve">Will Falcon Freight Solutions be notified in advance of any change in subcontractors handling its data?</t>
  </si>
  <si>
    <t xml:space="preserve">Microsoft Online Services Subprocessor List – update notification process</t>
  </si>
  <si>
    <t xml:space="preserve">Changes are published to the public Subprocessor List with a notice period, but Falcon Freight Solutions is not individually notified in advance; FFS must actively monitor the published list or subscribe to update notifications.</t>
  </si>
  <si>
    <t xml:space="preserve">11.5</t>
  </si>
  <si>
    <t xml:space="preserve">Do you maintain an up-to-date inventory of all fourth parties with access to Falcon Freight Solutions data?</t>
  </si>
  <si>
    <t xml:space="preserve">Microsoft Online Services Subprocessor List (maintained and published)</t>
  </si>
  <si>
    <t xml:space="preserve">Section Score – Subcontractor / Fourth-Party Risk Management</t>
  </si>
  <si>
    <t xml:space="preserve">S12 – Right to Audit, Insurance &amp; Compliance Monitoring (Weight: 4%)</t>
  </si>
  <si>
    <t xml:space="preserve">12.1</t>
  </si>
  <si>
    <t xml:space="preserve">Do you agree to provide Falcon Freight Solutions (or its appointed auditor) the right to audit security controls relevant to this engagement?</t>
  </si>
  <si>
    <t xml:space="preserve">Microsoft audit/attestation framework overview – Service Trust Portal</t>
  </si>
  <si>
    <t xml:space="preserve">Microsoft provides independent audit reports and attestations (SOC 2, ISO certificates) in lieu of direct customer audits under its standard enterprise terms; a bespoke right for FFS or its appointed auditor to conduct an onsite audit would need to be separately negotiated.</t>
  </si>
  <si>
    <t xml:space="preserve">12.2</t>
  </si>
  <si>
    <t xml:space="preserve">Will you provide evidence of compliance (certificates, audit reports, policies) upon reasonable request?</t>
  </si>
  <si>
    <t xml:space="preserve">Compliance documentation available via Service Trust Portal on request</t>
  </si>
  <si>
    <t xml:space="preserve">12.3</t>
  </si>
  <si>
    <t xml:space="preserve">Do you agree to complete this questionnaire annually or upon material change to your security posture?</t>
  </si>
  <si>
    <t xml:space="preserve">Standard vendor commitment – annual questionnaire completion</t>
  </si>
  <si>
    <t xml:space="preserve">12.4</t>
  </si>
  <si>
    <t xml:space="preserve">Are you willing to remediate identified gaps within a mutually agreed timeframe?</t>
  </si>
  <si>
    <t xml:space="preserve">Standard vendor commitment – remediation timeframes agreed case-by-case</t>
  </si>
  <si>
    <t xml:space="preserve">12.5</t>
  </si>
  <si>
    <t xml:space="preserve">Do you carry adequate insurance coverage (cyber, general liability) relevant to the scope of services provided?</t>
  </si>
  <si>
    <t xml:space="preserve">Certificate of insurance (cyber and general liability) available on request</t>
  </si>
  <si>
    <t xml:space="preserve">Section Score – Right to Audit, Insurance &amp; Compliance Monitoring</t>
  </si>
  <si>
    <t xml:space="preserve">VENDOR RISK SCORING SUMMARY</t>
  </si>
  <si>
    <t xml:space="preserve">Auto-calculated from responses entered on the 'Questionnaire' tab</t>
  </si>
  <si>
    <t xml:space="preserve">Risk Domain</t>
  </si>
  <si>
    <t xml:space="preserve">Weight</t>
  </si>
  <si>
    <t xml:space="preserve">Section Score</t>
  </si>
  <si>
    <t xml:space="preserve">Weighted Contribution</t>
  </si>
  <si>
    <t xml:space="preserve">S1 – Corporate Governance &amp; Certifications</t>
  </si>
  <si>
    <t xml:space="preserve">S2 – Data Privacy &amp; Regulatory Compliance</t>
  </si>
  <si>
    <t xml:space="preserve">S3 – Information Security Policy &amp; Governance</t>
  </si>
  <si>
    <t xml:space="preserve">S4 – Access Control &amp; Identity Management</t>
  </si>
  <si>
    <t xml:space="preserve">S5 – Data Protection &amp; Cryptography</t>
  </si>
  <si>
    <t xml:space="preserve">S6 – Network &amp; Application / API Security</t>
  </si>
  <si>
    <t xml:space="preserve">S7 – Endpoint, Cloud &amp; Infrastructure Security</t>
  </si>
  <si>
    <t xml:space="preserve">S8 – Physical &amp; Environmental Security</t>
  </si>
  <si>
    <t xml:space="preserve">S9 – Business Continuity &amp; Disaster Recovery</t>
  </si>
  <si>
    <t xml:space="preserve">S10 – Incident Management &amp; Breach Notification</t>
  </si>
  <si>
    <t xml:space="preserve">S11 – Subcontractor / Fourth-Party Risk Management</t>
  </si>
  <si>
    <t xml:space="preserve">S12 – Right to Audit, Insurance &amp; Compliance Monitoring</t>
  </si>
  <si>
    <t xml:space="preserve">OVERALL VENDOR RISK SCORE</t>
  </si>
  <si>
    <t xml:space="preserve">OVERALL RISK RATING</t>
  </si>
  <si>
    <t xml:space="preserve">Scores will read blank/0% until the vendor's responses are entered on the 'Questionnaire' tab. This tab recalculates automatically as responses are completed.</t>
  </si>
  <si>
    <t xml:space="preserve">SECTION WEIGHTING</t>
  </si>
  <si>
    <t xml:space="preserve">TOTAL</t>
  </si>
  <si>
    <t xml:space="preserve">VENDOR-SPECIFIC PRIORITY FOCUS AREAS</t>
  </si>
  <si>
    <t xml:space="preserve">Guidance for Falcon Freight Solutions reviewers on which questionnaire sections warrant the closest scrutiny per known vendor, based on the Enterprise Risk Register.</t>
  </si>
  <si>
    <t xml:space="preserve">Vendor</t>
  </si>
  <si>
    <t xml:space="preserve">Priority Sections</t>
  </si>
  <si>
    <t xml:space="preserve">Rationale</t>
  </si>
  <si>
    <t xml:space="preserve">TPV-001 – Microsoft Azure</t>
  </si>
  <si>
    <t xml:space="preserve">S4, S5, S6, S7, S9</t>
  </si>
  <si>
    <t xml:space="preserve">Cloud host of the shipment tracking platform and core infrastructure; IAM least-privilege, encryption, API security, and SOC 2 coverage are priority controls (RSK-006, RSK-010).</t>
  </si>
  <si>
    <t xml:space="preserve">TPV-002 – SAP Logistics</t>
  </si>
  <si>
    <t xml:space="preserve">S1, S4, S6, S9</t>
  </si>
  <si>
    <t xml:space="preserve">Warehouse management and inventory software vendor; patch management, access control, and continuity of the on-premise warehouse system are priority controls (RSK-003, RSK-005).</t>
  </si>
  <si>
    <t xml:space="preserve">TPV-003 – DHL Partner Services</t>
  </si>
  <si>
    <t xml:space="preserve">S2, S4, S5, S10, S11</t>
  </si>
  <si>
    <t xml:space="preserve">Highest-touch PII exposure (customer names, addresses, phone numbers, live geolocation) via the last-mile delivery app; data masking and screenshot-blocking are critical controls (RSK-002, RSK-008).</t>
  </si>
  <si>
    <t xml:space="preserve">TPV-004 – PayFast Payment Gateway</t>
  </si>
  <si>
    <t xml:space="preserve">S2, S5, S6, S12</t>
  </si>
  <si>
    <t xml:space="preserve">Processes payment card data and billing PII for freight and customs invoicing; encryption, tokenization, PCI-DSS compliance, and audit rights are priority controls (RSK-001).</t>
  </si>
  <si>
    <t xml:space="preserve">TPV-005 – SecureNet IT Services</t>
  </si>
  <si>
    <t xml:space="preserve">S3, S4, S7, S10</t>
  </si>
  <si>
    <t xml:space="preserve">Manages network monitoring and security operations with privileged access to Falcon Freight Solutions systems; access control, endpoint/SIEM monitoring, and incident response coordination are priority controls (RSK-004, RSK-011).</t>
  </si>
</sst>
</file>

<file path=xl/styles.xml><?xml version="1.0" encoding="utf-8"?>
<styleSheet xmlns="http://schemas.openxmlformats.org/spreadsheetml/2006/main">
  <numFmts count="3">
    <numFmt numFmtId="164" formatCode="General"/>
    <numFmt numFmtId="165" formatCode="0.0%"/>
    <numFmt numFmtId="166" formatCode="0%"/>
  </numFmts>
  <fonts count="19">
    <font>
      <sz val="11"/>
      <color theme="1"/>
      <name val="Calibri"/>
      <family val="2"/>
      <charset val="1"/>
    </font>
    <font>
      <sz val="10"/>
      <name val="Arial"/>
      <family val="0"/>
    </font>
    <font>
      <sz val="10"/>
      <name val="Arial"/>
      <family val="0"/>
    </font>
    <font>
      <sz val="10"/>
      <name val="Arial"/>
      <family val="0"/>
    </font>
    <font>
      <b val="true"/>
      <sz val="20"/>
      <color rgb="FF1F3864"/>
      <name val="Arial"/>
      <family val="0"/>
      <charset val="1"/>
    </font>
    <font>
      <b val="true"/>
      <sz val="15"/>
      <color rgb="FF404040"/>
      <name val="Arial"/>
      <family val="0"/>
      <charset val="1"/>
    </font>
    <font>
      <i val="true"/>
      <sz val="9"/>
      <color rgb="FF808080"/>
      <name val="Arial"/>
      <family val="0"/>
      <charset val="1"/>
    </font>
    <font>
      <b val="true"/>
      <sz val="11"/>
      <color rgb="FFFFFFFF"/>
      <name val="Arial"/>
      <family val="0"/>
      <charset val="1"/>
    </font>
    <font>
      <b val="true"/>
      <sz val="10"/>
      <name val="Arial"/>
      <family val="0"/>
      <charset val="1"/>
    </font>
    <font>
      <sz val="10"/>
      <name val="Arial"/>
      <family val="0"/>
      <charset val="1"/>
    </font>
    <font>
      <b val="true"/>
      <sz val="12"/>
      <color rgb="FF404040"/>
      <name val="Arial"/>
      <family val="0"/>
      <charset val="1"/>
    </font>
    <font>
      <b val="true"/>
      <sz val="10"/>
      <color rgb="FFFFFFFF"/>
      <name val="Arial"/>
      <family val="0"/>
      <charset val="1"/>
    </font>
    <font>
      <b val="true"/>
      <sz val="10"/>
      <color rgb="FF000000"/>
      <name val="Arial"/>
      <family val="0"/>
      <charset val="1"/>
    </font>
    <font>
      <b val="true"/>
      <sz val="18"/>
      <color rgb="FF1F3864"/>
      <name val="Arial"/>
      <family val="0"/>
      <charset val="1"/>
    </font>
    <font>
      <b val="true"/>
      <sz val="12"/>
      <color rgb="FF1F3864"/>
      <name val="Arial"/>
      <family val="0"/>
      <charset val="1"/>
    </font>
    <font>
      <b val="true"/>
      <sz val="12"/>
      <color rgb="FFFFFFFF"/>
      <name val="Arial"/>
      <family val="0"/>
      <charset val="1"/>
    </font>
    <font>
      <b val="true"/>
      <sz val="18"/>
      <color rgb="FF000000"/>
      <name val="Calibri"/>
      <family val="2"/>
    </font>
    <font>
      <sz val="10"/>
      <color rgb="FF000000"/>
      <name val="Calibri"/>
      <family val="2"/>
    </font>
    <font>
      <b val="true"/>
      <sz val="10"/>
      <color rgb="FF000000"/>
      <name val="Calibri"/>
      <family val="2"/>
    </font>
  </fonts>
  <fills count="10">
    <fill>
      <patternFill patternType="none"/>
    </fill>
    <fill>
      <patternFill patternType="gray125"/>
    </fill>
    <fill>
      <patternFill patternType="solid">
        <fgColor rgb="FFC00000"/>
        <bgColor rgb="FF800000"/>
      </patternFill>
    </fill>
    <fill>
      <patternFill patternType="solid">
        <fgColor rgb="FFF2F2F2"/>
        <bgColor rgb="FFFFFFFF"/>
      </patternFill>
    </fill>
    <fill>
      <patternFill patternType="solid">
        <fgColor rgb="FF1F3864"/>
        <bgColor rgb="FF333399"/>
      </patternFill>
    </fill>
    <fill>
      <patternFill patternType="solid">
        <fgColor rgb="FF70AD47"/>
        <bgColor rgb="FF878787"/>
      </patternFill>
    </fill>
    <fill>
      <patternFill patternType="solid">
        <fgColor rgb="FFFFD966"/>
        <bgColor rgb="FFFFFF99"/>
      </patternFill>
    </fill>
    <fill>
      <patternFill patternType="solid">
        <fgColor rgb="FFED7D31"/>
        <bgColor rgb="FFFF8080"/>
      </patternFill>
    </fill>
    <fill>
      <patternFill patternType="solid">
        <fgColor rgb="FFFFF2CC"/>
        <bgColor rgb="FFF2F2F2"/>
      </patternFill>
    </fill>
    <fill>
      <patternFill patternType="solid">
        <fgColor rgb="FF808080"/>
        <bgColor rgb="FF878787"/>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center" vertical="center" textRotation="0" wrapText="false" indent="0" shrinkToFit="false"/>
      <protection locked="true" hidden="false"/>
    </xf>
    <xf numFmtId="164" fontId="6" fillId="0" borderId="0" xfId="0" applyFont="true" applyBorder="true" applyAlignment="true" applyProtection="false">
      <alignment horizontal="center" vertical="center" textRotation="0" wrapText="false" indent="0" shrinkToFit="false"/>
      <protection locked="true" hidden="false"/>
    </xf>
    <xf numFmtId="164" fontId="7" fillId="2" borderId="0" xfId="0" applyFont="true" applyBorder="true" applyAlignment="true" applyProtection="false">
      <alignment horizontal="center" vertical="center" textRotation="0" wrapText="false" indent="0" shrinkToFit="false"/>
      <protection locked="true" hidden="false"/>
    </xf>
    <xf numFmtId="164" fontId="8" fillId="3" borderId="1" xfId="0" applyFont="true" applyBorder="true" applyAlignment="true" applyProtection="false">
      <alignment horizontal="left" vertical="center" textRotation="0" wrapText="true" indent="0" shrinkToFit="false"/>
      <protection locked="true" hidden="false"/>
    </xf>
    <xf numFmtId="164" fontId="9" fillId="0" borderId="1" xfId="0" applyFont="true" applyBorder="true" applyAlignment="true" applyProtection="false">
      <alignment horizontal="left" vertical="center" textRotation="0" wrapText="true" indent="0" shrinkToFit="false"/>
      <protection locked="true" hidden="false"/>
    </xf>
    <xf numFmtId="164" fontId="10" fillId="0" borderId="0"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left" vertical="center" textRotation="0" wrapText="tru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4" fontId="11" fillId="5" borderId="1" xfId="0" applyFont="true" applyBorder="true" applyAlignment="true" applyProtection="false">
      <alignment horizontal="center" vertical="center" textRotation="0" wrapText="false" indent="0" shrinkToFit="false"/>
      <protection locked="true" hidden="false"/>
    </xf>
    <xf numFmtId="164" fontId="12" fillId="6" borderId="1" xfId="0" applyFont="true" applyBorder="true" applyAlignment="true" applyProtection="false">
      <alignment horizontal="center" vertical="center" textRotation="0" wrapText="false" indent="0" shrinkToFit="false"/>
      <protection locked="true" hidden="false"/>
    </xf>
    <xf numFmtId="164" fontId="11" fillId="7" borderId="1" xfId="0" applyFont="true" applyBorder="true" applyAlignment="true" applyProtection="false">
      <alignment horizontal="center" vertical="center" textRotation="0" wrapText="false" indent="0" shrinkToFit="false"/>
      <protection locked="true" hidden="false"/>
    </xf>
    <xf numFmtId="164" fontId="11" fillId="2" borderId="1" xfId="0" applyFont="true" applyBorder="true" applyAlignment="true" applyProtection="false">
      <alignment horizontal="center" vertical="center" textRotation="0" wrapText="false" indent="0" shrinkToFit="false"/>
      <protection locked="true" hidden="false"/>
    </xf>
    <xf numFmtId="164" fontId="6" fillId="0" borderId="0" xfId="0" applyFont="true" applyBorder="true" applyAlignment="true" applyProtection="false">
      <alignment horizontal="left" vertical="center" textRotation="0" wrapText="true" indent="0" shrinkToFit="false"/>
      <protection locked="true" hidden="false"/>
    </xf>
    <xf numFmtId="164" fontId="13" fillId="0" borderId="0"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4" fontId="9" fillId="7" borderId="1" xfId="0" applyFont="true" applyBorder="true" applyAlignment="true" applyProtection="false">
      <alignment horizontal="center" vertical="center" textRotation="0" wrapText="true" indent="0" shrinkToFit="false"/>
      <protection locked="true" hidden="false"/>
    </xf>
    <xf numFmtId="164" fontId="9" fillId="6" borderId="1" xfId="0" applyFont="true" applyBorder="true" applyAlignment="true" applyProtection="false">
      <alignment horizontal="center" vertical="center" textRotation="0" wrapText="true" indent="0" shrinkToFit="false"/>
      <protection locked="true" hidden="false"/>
    </xf>
    <xf numFmtId="164" fontId="7" fillId="4" borderId="0"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xf numFmtId="164" fontId="0" fillId="8" borderId="2" xfId="0" applyFont="true" applyBorder="true" applyAlignment="true" applyProtection="false">
      <alignment horizontal="left" vertical="center" textRotation="0" wrapText="true" indent="0" shrinkToFit="false"/>
      <protection locked="true" hidden="false"/>
    </xf>
    <xf numFmtId="164" fontId="0" fillId="8" borderId="1" xfId="0" applyFont="true" applyBorder="true" applyAlignment="true" applyProtection="false">
      <alignment horizontal="center" vertical="center" textRotation="0" wrapText="true" indent="0" shrinkToFit="false"/>
      <protection locked="true" hidden="false"/>
    </xf>
    <xf numFmtId="164" fontId="0" fillId="8" borderId="1" xfId="0" applyFont="true" applyBorder="true" applyAlignment="true" applyProtection="false">
      <alignment horizontal="left" vertical="center" textRotation="0" wrapText="true" indent="0" shrinkToFit="false"/>
      <protection locked="true" hidden="false"/>
    </xf>
    <xf numFmtId="164" fontId="8" fillId="3" borderId="2" xfId="0" applyFont="true" applyBorder="true" applyAlignment="true" applyProtection="false">
      <alignment horizontal="left" vertical="center" textRotation="0" wrapText="true" indent="0" shrinkToFit="false"/>
      <protection locked="true" hidden="false"/>
    </xf>
    <xf numFmtId="165" fontId="8" fillId="3" borderId="1" xfId="0" applyFont="true" applyBorder="true" applyAlignment="true" applyProtection="false">
      <alignment horizontal="center" vertical="center" textRotation="0" wrapText="false" indent="0" shrinkToFit="false"/>
      <protection locked="true" hidden="false"/>
    </xf>
    <xf numFmtId="164" fontId="0" fillId="3" borderId="1" xfId="0" applyFont="false" applyBorder="true" applyAlignment="true" applyProtection="false">
      <alignment horizontal="general" vertical="bottom" textRotation="0" wrapText="false" indent="0" shrinkToFit="false"/>
      <protection locked="true" hidden="false"/>
    </xf>
    <xf numFmtId="166" fontId="9" fillId="0" borderId="1" xfId="0" applyFont="true" applyBorder="true" applyAlignment="true" applyProtection="false">
      <alignment horizontal="center" vertical="center" textRotation="0" wrapText="false" indent="0" shrinkToFit="false"/>
      <protection locked="true" hidden="false"/>
    </xf>
    <xf numFmtId="165" fontId="9" fillId="0" borderId="1" xfId="0" applyFont="true" applyBorder="true" applyAlignment="true" applyProtection="false">
      <alignment horizontal="center" vertical="center" textRotation="0" wrapText="false" indent="0" shrinkToFit="false"/>
      <protection locked="true" hidden="false"/>
    </xf>
    <xf numFmtId="166" fontId="0" fillId="3" borderId="1" xfId="0" applyFont="false" applyBorder="true" applyAlignment="true" applyProtection="false">
      <alignment horizontal="center" vertical="center" textRotation="0" wrapText="false" indent="0" shrinkToFit="false"/>
      <protection locked="true" hidden="false"/>
    </xf>
    <xf numFmtId="165" fontId="14" fillId="3" borderId="1" xfId="0" applyFont="true" applyBorder="true" applyAlignment="true" applyProtection="false">
      <alignment horizontal="center" vertical="center" textRotation="0" wrapText="false" indent="0" shrinkToFit="false"/>
      <protection locked="true" hidden="false"/>
    </xf>
    <xf numFmtId="164" fontId="15" fillId="4" borderId="0" xfId="0" applyFont="true" applyBorder="true" applyAlignment="true" applyProtection="false">
      <alignment horizontal="center" vertical="center" textRotation="0" wrapText="false" indent="0" shrinkToFit="false"/>
      <protection locked="true" hidden="false"/>
    </xf>
    <xf numFmtId="164" fontId="15" fillId="9" borderId="0" xfId="0" applyFont="true" applyBorder="true" applyAlignment="true" applyProtection="false">
      <alignment horizontal="center" vertical="center" textRotation="0" wrapText="false" indent="0" shrinkToFit="false"/>
      <protection locked="true" hidden="false"/>
    </xf>
    <xf numFmtId="164" fontId="13" fillId="0" borderId="0" xfId="0" applyFont="true" applyBorder="true" applyAlignment="tru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general" vertical="bottom" textRotation="0" wrapText="false" indent="0" shrinkToFit="false"/>
      <protection locked="true" hidden="false"/>
    </xf>
    <xf numFmtId="166" fontId="8" fillId="3"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D966"/>
      <rgbColor rgb="FF3366FF"/>
      <rgbColor rgb="FF33CCCC"/>
      <rgbColor rgb="FF99CC00"/>
      <rgbColor rgb="FFFFCC00"/>
      <rgbColor rgb="FFFF9900"/>
      <rgbColor rgb="FFED7D31"/>
      <rgbColor rgb="FF666699"/>
      <rgbColor rgb="FF878787"/>
      <rgbColor rgb="FF1F3864"/>
      <rgbColor rgb="FF70AD47"/>
      <rgbColor rgb="FF003300"/>
      <rgbColor rgb="FF333300"/>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Section Scores (%)</a:t>
            </a:r>
          </a:p>
        </c:rich>
      </c:tx>
      <c:overlay val="0"/>
      <c:spPr>
        <a:noFill/>
        <a:ln w="0">
          <a:noFill/>
        </a:ln>
      </c:spPr>
    </c:title>
    <c:autoTitleDeleted val="0"/>
    <c:plotArea>
      <c:barChart>
        <c:barDir val="col"/>
        <c:grouping val="clustered"/>
        <c:varyColors val="0"/>
        <c:ser>
          <c:idx val="0"/>
          <c:order val="0"/>
          <c:tx>
            <c:strRef>
              <c:f>'Scoring Summary'!C4</c:f>
              <c:strCache>
                <c:ptCount val="1"/>
                <c:pt idx="0">
                  <c:v>Section Score</c:v>
                </c:pt>
              </c:strCache>
            </c:strRef>
          </c:tx>
          <c:spPr>
            <a:solidFill>
              <a:srgbClr val="1f3864"/>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'Scoring Summary'!$A$5:$A$16</c:f>
              <c:strCache>
                <c:ptCount val="12"/>
                <c:pt idx="0">
                  <c:v>S1 – Corporate Governance &amp; Certifications</c:v>
                </c:pt>
                <c:pt idx="1">
                  <c:v>S2 – Data Privacy &amp; Regulatory Compliance</c:v>
                </c:pt>
                <c:pt idx="2">
                  <c:v>S3 – Information Security Policy &amp; Governance</c:v>
                </c:pt>
                <c:pt idx="3">
                  <c:v>S4 – Access Control &amp; Identity Management</c:v>
                </c:pt>
                <c:pt idx="4">
                  <c:v>S5 – Data Protection &amp; Cryptography</c:v>
                </c:pt>
                <c:pt idx="5">
                  <c:v>S6 – Network &amp; Application / API Security</c:v>
                </c:pt>
                <c:pt idx="6">
                  <c:v>S7 – Endpoint, Cloud &amp; Infrastructure Security</c:v>
                </c:pt>
                <c:pt idx="7">
                  <c:v>S8 – Physical &amp; Environmental Security</c:v>
                </c:pt>
                <c:pt idx="8">
                  <c:v>S9 – Business Continuity &amp; Disaster Recovery</c:v>
                </c:pt>
                <c:pt idx="9">
                  <c:v>S10 – Incident Management &amp; Breach Notification</c:v>
                </c:pt>
                <c:pt idx="10">
                  <c:v>S11 – Subcontractor / Fourth-Party Risk Management</c:v>
                </c:pt>
                <c:pt idx="11">
                  <c:v>S12 – Right to Audit, Insurance &amp; Compliance Monitoring</c:v>
                </c:pt>
              </c:strCache>
            </c:strRef>
          </c:cat>
          <c:val>
            <c:numRef>
              <c:f>'Scoring Summary'!$C$5:$C$16</c:f>
              <c:numCache>
                <c:formatCode>0.0%</c:formatCode>
                <c:ptCount val="12"/>
                <c:pt idx="0">
                  <c:v>1</c:v>
                </c:pt>
                <c:pt idx="1">
                  <c:v>0.875</c:v>
                </c:pt>
                <c:pt idx="2">
                  <c:v>1</c:v>
                </c:pt>
                <c:pt idx="3">
                  <c:v>0.857142857142857</c:v>
                </c:pt>
                <c:pt idx="4">
                  <c:v>0.833333333333333</c:v>
                </c:pt>
                <c:pt idx="5">
                  <c:v>0.928571428571429</c:v>
                </c:pt>
                <c:pt idx="6">
                  <c:v>1</c:v>
                </c:pt>
                <c:pt idx="7">
                  <c:v>1</c:v>
                </c:pt>
                <c:pt idx="8">
                  <c:v>0.833333333333333</c:v>
                </c:pt>
                <c:pt idx="9">
                  <c:v>0.785714285714286</c:v>
                </c:pt>
                <c:pt idx="10">
                  <c:v>0.9</c:v>
                </c:pt>
                <c:pt idx="11">
                  <c:v>0.9</c:v>
                </c:pt>
              </c:numCache>
            </c:numRef>
          </c:val>
        </c:ser>
        <c:gapWidth val="150"/>
        <c:overlap val="0"/>
        <c:axId val="64117451"/>
        <c:axId val="39542027"/>
      </c:barChart>
      <c:catAx>
        <c:axId val="64117451"/>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9542027"/>
        <c:crosses val="autoZero"/>
        <c:auto val="1"/>
        <c:lblAlgn val="ctr"/>
        <c:lblOffset val="100"/>
        <c:noMultiLvlLbl val="0"/>
      </c:catAx>
      <c:valAx>
        <c:axId val="39542027"/>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Section Score (%)</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4117451"/>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23</xdr:row>
      <xdr:rowOff>0</xdr:rowOff>
    </xdr:from>
    <xdr:to>
      <xdr:col>9</xdr:col>
      <xdr:colOff>28080</xdr:colOff>
      <xdr:row>41</xdr:row>
      <xdr:rowOff>169920</xdr:rowOff>
    </xdr:to>
    <xdr:graphicFrame>
      <xdr:nvGraphicFramePr>
        <xdr:cNvPr id="0" name="Chart 1"/>
        <xdr:cNvGraphicFramePr/>
      </xdr:nvGraphicFramePr>
      <xdr:xfrm>
        <a:off x="0" y="5514840"/>
        <a:ext cx="9358920" cy="35989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4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32"/>
    <col collapsed="false" customWidth="true" hidden="false" outlineLevel="0" max="3" min="3" style="1" width="55"/>
    <col collapsed="false" customWidth="true" hidden="false" outlineLevel="0" max="5" min="4" style="1" width="4"/>
  </cols>
  <sheetData>
    <row r="2" customFormat="false" ht="24" hidden="false" customHeight="true" outlineLevel="0" collapsed="false">
      <c r="B2" s="2" t="s">
        <v>0</v>
      </c>
      <c r="C2" s="2"/>
    </row>
    <row r="3" customFormat="false" ht="18" hidden="false" customHeight="true" outlineLevel="0" collapsed="false">
      <c r="B3" s="3" t="s">
        <v>1</v>
      </c>
      <c r="C3" s="3"/>
    </row>
    <row r="4" customFormat="false" ht="15" hidden="false" customHeight="true" outlineLevel="0" collapsed="false">
      <c r="B4" s="4" t="s">
        <v>2</v>
      </c>
      <c r="C4" s="4"/>
    </row>
    <row r="5" customFormat="false" ht="21.75" hidden="false" customHeight="true" outlineLevel="0" collapsed="false">
      <c r="B5" s="5" t="s">
        <v>3</v>
      </c>
      <c r="C5" s="5"/>
    </row>
    <row r="7" customFormat="false" ht="18" hidden="false" customHeight="true" outlineLevel="0" collapsed="false">
      <c r="B7" s="6" t="s">
        <v>4</v>
      </c>
      <c r="C7" s="7" t="s">
        <v>5</v>
      </c>
    </row>
    <row r="8" customFormat="false" ht="18" hidden="false" customHeight="true" outlineLevel="0" collapsed="false">
      <c r="B8" s="6" t="s">
        <v>6</v>
      </c>
      <c r="C8" s="7" t="s">
        <v>7</v>
      </c>
    </row>
    <row r="9" customFormat="false" ht="18" hidden="false" customHeight="true" outlineLevel="0" collapsed="false">
      <c r="B9" s="6" t="s">
        <v>8</v>
      </c>
      <c r="C9" s="7" t="s">
        <v>9</v>
      </c>
    </row>
    <row r="10" customFormat="false" ht="18" hidden="false" customHeight="true" outlineLevel="0" collapsed="false">
      <c r="B10" s="6" t="s">
        <v>10</v>
      </c>
      <c r="C10" s="7" t="s">
        <v>11</v>
      </c>
    </row>
    <row r="11" customFormat="false" ht="18" hidden="false" customHeight="true" outlineLevel="0" collapsed="false">
      <c r="B11" s="6" t="s">
        <v>12</v>
      </c>
      <c r="C11" s="7" t="s">
        <v>13</v>
      </c>
    </row>
    <row r="12" customFormat="false" ht="25.5" hidden="false" customHeight="true" outlineLevel="0" collapsed="false">
      <c r="B12" s="6" t="s">
        <v>14</v>
      </c>
      <c r="C12" s="7" t="s">
        <v>15</v>
      </c>
    </row>
    <row r="14" customFormat="false" ht="15" hidden="false" customHeight="true" outlineLevel="0" collapsed="false">
      <c r="B14" s="8" t="s">
        <v>16</v>
      </c>
      <c r="C14" s="8"/>
    </row>
    <row r="15" customFormat="false" ht="27.75" hidden="false" customHeight="true" outlineLevel="0" collapsed="false">
      <c r="B15" s="9" t="s">
        <v>17</v>
      </c>
      <c r="C15" s="9"/>
    </row>
    <row r="16" customFormat="false" ht="27.75" hidden="false" customHeight="true" outlineLevel="0" collapsed="false">
      <c r="B16" s="9" t="s">
        <v>18</v>
      </c>
      <c r="C16" s="9"/>
    </row>
    <row r="17" customFormat="false" ht="27.75" hidden="false" customHeight="true" outlineLevel="0" collapsed="false">
      <c r="B17" s="9" t="s">
        <v>19</v>
      </c>
      <c r="C17" s="9"/>
    </row>
    <row r="18" customFormat="false" ht="27.75" hidden="false" customHeight="true" outlineLevel="0" collapsed="false">
      <c r="B18" s="9" t="s">
        <v>20</v>
      </c>
      <c r="C18" s="9"/>
    </row>
    <row r="19" customFormat="false" ht="27.75" hidden="false" customHeight="true" outlineLevel="0" collapsed="false">
      <c r="B19" s="9" t="s">
        <v>21</v>
      </c>
      <c r="C19" s="9"/>
    </row>
    <row r="20" customFormat="false" ht="27.75" hidden="false" customHeight="true" outlineLevel="0" collapsed="false">
      <c r="B20" s="9" t="s">
        <v>22</v>
      </c>
      <c r="C20" s="9"/>
    </row>
    <row r="22" customFormat="false" ht="15" hidden="false" customHeight="true" outlineLevel="0" collapsed="false">
      <c r="B22" s="8" t="s">
        <v>23</v>
      </c>
      <c r="C22" s="8"/>
    </row>
    <row r="23" customFormat="false" ht="15" hidden="false" customHeight="true" outlineLevel="0" collapsed="false">
      <c r="B23" s="9" t="s">
        <v>24</v>
      </c>
      <c r="C23" s="9"/>
    </row>
    <row r="24" customFormat="false" ht="15" hidden="false" customHeight="true" outlineLevel="0" collapsed="false">
      <c r="B24" s="9" t="s">
        <v>25</v>
      </c>
      <c r="C24" s="9"/>
    </row>
    <row r="25" customFormat="false" ht="15" hidden="false" customHeight="true" outlineLevel="0" collapsed="false">
      <c r="B25" s="9" t="s">
        <v>26</v>
      </c>
      <c r="C25" s="9"/>
    </row>
    <row r="26" customFormat="false" ht="15" hidden="false" customHeight="true" outlineLevel="0" collapsed="false">
      <c r="B26" s="9" t="s">
        <v>27</v>
      </c>
      <c r="C26" s="9"/>
    </row>
    <row r="27" customFormat="false" ht="15" hidden="false" customHeight="true" outlineLevel="0" collapsed="false">
      <c r="B27" s="9" t="s">
        <v>28</v>
      </c>
      <c r="C27" s="9"/>
    </row>
    <row r="29" customFormat="false" ht="15" hidden="false" customHeight="true" outlineLevel="0" collapsed="false">
      <c r="B29" s="8" t="s">
        <v>29</v>
      </c>
      <c r="C29" s="8"/>
    </row>
    <row r="30" customFormat="false" ht="60" hidden="false" customHeight="true" outlineLevel="0" collapsed="false">
      <c r="B30" s="9" t="s">
        <v>30</v>
      </c>
      <c r="C30" s="9"/>
    </row>
    <row r="32" customFormat="false" ht="15" hidden="false" customHeight="true" outlineLevel="0" collapsed="false">
      <c r="B32" s="10" t="s">
        <v>31</v>
      </c>
      <c r="C32" s="10" t="s">
        <v>32</v>
      </c>
    </row>
    <row r="33" customFormat="false" ht="42" hidden="false" customHeight="true" outlineLevel="0" collapsed="false">
      <c r="B33" s="7" t="s">
        <v>33</v>
      </c>
      <c r="C33" s="7" t="s">
        <v>34</v>
      </c>
    </row>
    <row r="34" customFormat="false" ht="42" hidden="false" customHeight="true" outlineLevel="0" collapsed="false">
      <c r="B34" s="7" t="s">
        <v>35</v>
      </c>
      <c r="C34" s="7" t="s">
        <v>36</v>
      </c>
    </row>
    <row r="35" customFormat="false" ht="42" hidden="false" customHeight="true" outlineLevel="0" collapsed="false">
      <c r="B35" s="7" t="s">
        <v>37</v>
      </c>
      <c r="C35" s="7" t="s">
        <v>38</v>
      </c>
    </row>
    <row r="36" customFormat="false" ht="42" hidden="false" customHeight="true" outlineLevel="0" collapsed="false">
      <c r="B36" s="7" t="s">
        <v>39</v>
      </c>
      <c r="C36" s="7" t="s">
        <v>40</v>
      </c>
    </row>
    <row r="38" customFormat="false" ht="15" hidden="false" customHeight="true" outlineLevel="0" collapsed="false">
      <c r="B38" s="10" t="s">
        <v>41</v>
      </c>
      <c r="C38" s="10" t="s">
        <v>42</v>
      </c>
    </row>
    <row r="39" customFormat="false" ht="15" hidden="false" customHeight="true" outlineLevel="0" collapsed="false">
      <c r="B39" s="11" t="s">
        <v>43</v>
      </c>
      <c r="C39" s="12" t="s">
        <v>44</v>
      </c>
    </row>
    <row r="40" customFormat="false" ht="15" hidden="false" customHeight="true" outlineLevel="0" collapsed="false">
      <c r="B40" s="11" t="s">
        <v>45</v>
      </c>
      <c r="C40" s="13" t="s">
        <v>46</v>
      </c>
    </row>
    <row r="41" customFormat="false" ht="15" hidden="false" customHeight="true" outlineLevel="0" collapsed="false">
      <c r="B41" s="11" t="s">
        <v>47</v>
      </c>
      <c r="C41" s="14" t="s">
        <v>48</v>
      </c>
    </row>
    <row r="42" customFormat="false" ht="15" hidden="false" customHeight="true" outlineLevel="0" collapsed="false">
      <c r="B42" s="11" t="s">
        <v>49</v>
      </c>
      <c r="C42" s="15" t="s">
        <v>50</v>
      </c>
    </row>
    <row r="44" customFormat="false" ht="69.75" hidden="false" customHeight="true" outlineLevel="0" collapsed="false">
      <c r="B44" s="16" t="s">
        <v>51</v>
      </c>
      <c r="C44" s="16"/>
    </row>
  </sheetData>
  <mergeCells count="20">
    <mergeCell ref="B2:C2"/>
    <mergeCell ref="B3:C3"/>
    <mergeCell ref="B4:C4"/>
    <mergeCell ref="B5:C5"/>
    <mergeCell ref="B14:C14"/>
    <mergeCell ref="B15:C15"/>
    <mergeCell ref="B16:C16"/>
    <mergeCell ref="B17:C17"/>
    <mergeCell ref="B18:C18"/>
    <mergeCell ref="B19:C19"/>
    <mergeCell ref="B20:C20"/>
    <mergeCell ref="B22:C22"/>
    <mergeCell ref="B23:C23"/>
    <mergeCell ref="B24:C24"/>
    <mergeCell ref="B25:C25"/>
    <mergeCell ref="B26:C26"/>
    <mergeCell ref="B27:C27"/>
    <mergeCell ref="B29:C29"/>
    <mergeCell ref="B30:C30"/>
    <mergeCell ref="B44:C4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20"/>
    <col collapsed="false" customWidth="true" hidden="false" outlineLevel="0" max="3" min="3" style="1" width="22"/>
    <col collapsed="false" customWidth="true" hidden="false" outlineLevel="0" max="4" min="4" style="1" width="32"/>
    <col collapsed="false" customWidth="true" hidden="false" outlineLevel="0" max="5" min="5" style="1" width="30"/>
    <col collapsed="false" customWidth="true" hidden="false" outlineLevel="0" max="6" min="6" style="1" width="12"/>
    <col collapsed="false" customWidth="true" hidden="false" outlineLevel="0" max="7" min="7" style="1" width="20"/>
    <col collapsed="false" customWidth="true" hidden="false" outlineLevel="0" max="9" min="8" style="1" width="13"/>
    <col collapsed="false" customWidth="true" hidden="false" outlineLevel="0" max="10" min="10" style="1" width="15"/>
    <col collapsed="false" customWidth="true" hidden="false" outlineLevel="0" max="13" min="11" style="1" width="12"/>
    <col collapsed="false" customWidth="true" hidden="false" outlineLevel="0" max="14" min="14" style="1" width="10"/>
  </cols>
  <sheetData>
    <row r="1" customFormat="false" ht="24" hidden="false" customHeight="true" outlineLevel="0" collapsed="false">
      <c r="A1" s="17" t="s">
        <v>52</v>
      </c>
      <c r="B1" s="17"/>
      <c r="C1" s="17"/>
      <c r="D1" s="17"/>
      <c r="E1" s="17"/>
      <c r="F1" s="17"/>
      <c r="G1" s="17"/>
      <c r="H1" s="17"/>
      <c r="I1" s="17"/>
      <c r="J1" s="17"/>
      <c r="K1" s="17"/>
      <c r="L1" s="17"/>
      <c r="M1" s="17"/>
      <c r="N1" s="17"/>
    </row>
    <row r="2" customFormat="false" ht="15" hidden="false" customHeight="true" outlineLevel="0" collapsed="false">
      <c r="A2" s="4" t="s">
        <v>53</v>
      </c>
      <c r="B2" s="4"/>
      <c r="C2" s="4"/>
      <c r="D2" s="4"/>
      <c r="E2" s="4"/>
      <c r="F2" s="4"/>
      <c r="G2" s="4"/>
      <c r="H2" s="4"/>
      <c r="I2" s="4"/>
      <c r="J2" s="4"/>
      <c r="K2" s="4"/>
      <c r="L2" s="4"/>
      <c r="M2" s="4"/>
      <c r="N2" s="4"/>
    </row>
    <row r="4" customFormat="false" ht="31.5" hidden="false" customHeight="true" outlineLevel="0" collapsed="false">
      <c r="A4" s="10" t="s">
        <v>54</v>
      </c>
      <c r="B4" s="10" t="s">
        <v>55</v>
      </c>
      <c r="C4" s="10" t="s">
        <v>56</v>
      </c>
      <c r="D4" s="10" t="s">
        <v>57</v>
      </c>
      <c r="E4" s="10" t="s">
        <v>58</v>
      </c>
      <c r="F4" s="10" t="s">
        <v>59</v>
      </c>
      <c r="G4" s="10" t="s">
        <v>60</v>
      </c>
      <c r="H4" s="10" t="s">
        <v>61</v>
      </c>
      <c r="I4" s="10" t="s">
        <v>62</v>
      </c>
      <c r="J4" s="10" t="s">
        <v>63</v>
      </c>
      <c r="K4" s="10" t="s">
        <v>64</v>
      </c>
      <c r="L4" s="10" t="s">
        <v>65</v>
      </c>
      <c r="M4" s="10" t="s">
        <v>66</v>
      </c>
      <c r="N4" s="10" t="s">
        <v>67</v>
      </c>
    </row>
    <row r="5" customFormat="false" ht="49.5" hidden="false" customHeight="true" outlineLevel="0" collapsed="false">
      <c r="A5" s="18" t="s">
        <v>68</v>
      </c>
      <c r="B5" s="18" t="s">
        <v>69</v>
      </c>
      <c r="C5" s="18" t="s">
        <v>70</v>
      </c>
      <c r="D5" s="7" t="s">
        <v>71</v>
      </c>
      <c r="E5" s="7" t="s">
        <v>72</v>
      </c>
      <c r="F5" s="19" t="s">
        <v>73</v>
      </c>
      <c r="G5" s="18" t="s">
        <v>74</v>
      </c>
      <c r="H5" s="18" t="s">
        <v>75</v>
      </c>
      <c r="I5" s="18" t="s">
        <v>76</v>
      </c>
      <c r="J5" s="18" t="s">
        <v>77</v>
      </c>
      <c r="K5" s="18" t="s">
        <v>78</v>
      </c>
      <c r="L5" s="18" t="s">
        <v>79</v>
      </c>
      <c r="M5" s="18" t="n">
        <v>89.2</v>
      </c>
      <c r="N5" s="18" t="s">
        <v>44</v>
      </c>
    </row>
    <row r="6" customFormat="false" ht="49.5" hidden="false" customHeight="true" outlineLevel="0" collapsed="false">
      <c r="A6" s="18" t="s">
        <v>80</v>
      </c>
      <c r="B6" s="18" t="s">
        <v>81</v>
      </c>
      <c r="C6" s="18" t="s">
        <v>82</v>
      </c>
      <c r="D6" s="7" t="s">
        <v>83</v>
      </c>
      <c r="E6" s="7" t="s">
        <v>84</v>
      </c>
      <c r="F6" s="20" t="s">
        <v>85</v>
      </c>
      <c r="G6" s="18" t="s">
        <v>86</v>
      </c>
      <c r="H6" s="18" t="s">
        <v>87</v>
      </c>
      <c r="I6" s="18" t="s">
        <v>88</v>
      </c>
      <c r="J6" s="18" t="s">
        <v>89</v>
      </c>
      <c r="K6" s="18"/>
      <c r="L6" s="18"/>
      <c r="M6" s="18"/>
      <c r="N6" s="18"/>
    </row>
    <row r="7" customFormat="false" ht="49.5" hidden="false" customHeight="true" outlineLevel="0" collapsed="false">
      <c r="A7" s="18" t="s">
        <v>90</v>
      </c>
      <c r="B7" s="18" t="s">
        <v>91</v>
      </c>
      <c r="C7" s="18" t="s">
        <v>92</v>
      </c>
      <c r="D7" s="7" t="s">
        <v>93</v>
      </c>
      <c r="E7" s="7" t="s">
        <v>94</v>
      </c>
      <c r="F7" s="19" t="s">
        <v>73</v>
      </c>
      <c r="G7" s="18" t="s">
        <v>95</v>
      </c>
      <c r="H7" s="18" t="s">
        <v>96</v>
      </c>
      <c r="I7" s="18" t="s">
        <v>97</v>
      </c>
      <c r="J7" s="18" t="s">
        <v>89</v>
      </c>
      <c r="K7" s="18"/>
      <c r="L7" s="18"/>
      <c r="M7" s="18"/>
      <c r="N7" s="18"/>
    </row>
    <row r="8" customFormat="false" ht="49.5" hidden="false" customHeight="true" outlineLevel="0" collapsed="false">
      <c r="A8" s="18" t="s">
        <v>98</v>
      </c>
      <c r="B8" s="18" t="s">
        <v>99</v>
      </c>
      <c r="C8" s="18" t="s">
        <v>100</v>
      </c>
      <c r="D8" s="7" t="s">
        <v>101</v>
      </c>
      <c r="E8" s="7" t="s">
        <v>102</v>
      </c>
      <c r="F8" s="19" t="s">
        <v>73</v>
      </c>
      <c r="G8" s="18" t="s">
        <v>103</v>
      </c>
      <c r="H8" s="18" t="s">
        <v>104</v>
      </c>
      <c r="I8" s="18" t="s">
        <v>105</v>
      </c>
      <c r="J8" s="18" t="s">
        <v>89</v>
      </c>
      <c r="K8" s="18"/>
      <c r="L8" s="18"/>
      <c r="M8" s="18"/>
      <c r="N8" s="18"/>
    </row>
    <row r="9" customFormat="false" ht="49.5" hidden="false" customHeight="true" outlineLevel="0" collapsed="false">
      <c r="A9" s="18" t="s">
        <v>106</v>
      </c>
      <c r="B9" s="18" t="s">
        <v>107</v>
      </c>
      <c r="C9" s="18" t="s">
        <v>108</v>
      </c>
      <c r="D9" s="7" t="s">
        <v>109</v>
      </c>
      <c r="E9" s="7" t="s">
        <v>110</v>
      </c>
      <c r="F9" s="20" t="s">
        <v>85</v>
      </c>
      <c r="G9" s="18" t="s">
        <v>86</v>
      </c>
      <c r="H9" s="18" t="s">
        <v>111</v>
      </c>
      <c r="I9" s="18" t="s">
        <v>112</v>
      </c>
      <c r="J9" s="18" t="s">
        <v>89</v>
      </c>
      <c r="K9" s="18"/>
      <c r="L9" s="18"/>
      <c r="M9" s="18"/>
      <c r="N9" s="18"/>
    </row>
    <row r="11" customFormat="false" ht="39.75" hidden="false" customHeight="true" outlineLevel="0" collapsed="false">
      <c r="A11" s="16" t="s">
        <v>113</v>
      </c>
      <c r="B11" s="16"/>
      <c r="C11" s="16"/>
      <c r="D11" s="16"/>
      <c r="E11" s="16"/>
      <c r="F11" s="16"/>
      <c r="G11" s="16"/>
      <c r="H11" s="16"/>
      <c r="I11" s="16"/>
      <c r="J11" s="16"/>
      <c r="K11" s="16"/>
      <c r="L11" s="16"/>
      <c r="M11" s="16"/>
      <c r="N11" s="16"/>
    </row>
  </sheetData>
  <mergeCells count="3">
    <mergeCell ref="A1:N1"/>
    <mergeCell ref="A2:N2"/>
    <mergeCell ref="A11:N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8" topLeftCell="A1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55"/>
    <col collapsed="false" customWidth="true" hidden="false" outlineLevel="0" max="3" min="3" style="1" width="22"/>
    <col collapsed="false" customWidth="true" hidden="false" outlineLevel="0" max="4" min="4" style="1" width="9"/>
    <col collapsed="false" customWidth="true" hidden="false" outlineLevel="0" max="5" min="5" style="1" width="26"/>
    <col collapsed="false" customWidth="true" hidden="false" outlineLevel="0" max="6" min="6" style="1" width="34"/>
  </cols>
  <sheetData>
    <row r="1" customFormat="false" ht="25.5" hidden="false" customHeight="true" outlineLevel="0" collapsed="false">
      <c r="A1" s="17" t="s">
        <v>114</v>
      </c>
      <c r="B1" s="17"/>
      <c r="C1" s="17"/>
      <c r="D1" s="17"/>
      <c r="E1" s="17"/>
      <c r="F1" s="17"/>
    </row>
    <row r="3" customFormat="false" ht="19.5" hidden="false" customHeight="true" outlineLevel="0" collapsed="false">
      <c r="A3" s="21" t="s">
        <v>115</v>
      </c>
      <c r="B3" s="21"/>
      <c r="C3" s="21"/>
      <c r="D3" s="21"/>
      <c r="E3" s="21"/>
      <c r="F3" s="21"/>
    </row>
    <row r="4" customFormat="false" ht="18" hidden="false" customHeight="true" outlineLevel="0" collapsed="false">
      <c r="A4" s="22" t="s">
        <v>116</v>
      </c>
      <c r="B4" s="23" t="s">
        <v>117</v>
      </c>
      <c r="C4" s="23"/>
      <c r="D4" s="23"/>
      <c r="E4" s="23"/>
      <c r="F4" s="23"/>
    </row>
    <row r="5" customFormat="false" ht="18" hidden="false" customHeight="true" outlineLevel="0" collapsed="false">
      <c r="A5" s="22" t="s">
        <v>118</v>
      </c>
      <c r="B5" s="23" t="s">
        <v>119</v>
      </c>
      <c r="C5" s="23"/>
      <c r="D5" s="23"/>
      <c r="E5" s="23"/>
      <c r="F5" s="23"/>
    </row>
    <row r="6" customFormat="false" ht="18" hidden="false" customHeight="true" outlineLevel="0" collapsed="false">
      <c r="A6" s="22" t="s">
        <v>120</v>
      </c>
      <c r="B6" s="23" t="s">
        <v>121</v>
      </c>
      <c r="C6" s="23"/>
      <c r="D6" s="23"/>
      <c r="E6" s="23"/>
      <c r="F6" s="23"/>
    </row>
    <row r="7" customFormat="false" ht="18" hidden="false" customHeight="true" outlineLevel="0" collapsed="false">
      <c r="A7" s="22" t="s">
        <v>122</v>
      </c>
      <c r="B7" s="23" t="s">
        <v>123</v>
      </c>
      <c r="C7" s="23"/>
      <c r="D7" s="23"/>
      <c r="E7" s="23"/>
      <c r="F7" s="23"/>
    </row>
    <row r="8" customFormat="false" ht="18" hidden="false" customHeight="true" outlineLevel="0" collapsed="false">
      <c r="A8" s="22" t="s">
        <v>124</v>
      </c>
      <c r="B8" s="23" t="s">
        <v>125</v>
      </c>
      <c r="C8" s="23"/>
      <c r="D8" s="23"/>
      <c r="E8" s="23"/>
      <c r="F8" s="23"/>
    </row>
    <row r="9" customFormat="false" ht="18" hidden="false" customHeight="true" outlineLevel="0" collapsed="false">
      <c r="A9" s="22" t="s">
        <v>126</v>
      </c>
      <c r="B9" s="23" t="s">
        <v>127</v>
      </c>
      <c r="C9" s="23"/>
      <c r="D9" s="23"/>
      <c r="E9" s="23"/>
      <c r="F9" s="23"/>
    </row>
    <row r="10" customFormat="false" ht="18" hidden="false" customHeight="true" outlineLevel="0" collapsed="false">
      <c r="A10" s="22" t="s">
        <v>128</v>
      </c>
      <c r="B10" s="23" t="s">
        <v>129</v>
      </c>
      <c r="C10" s="23"/>
      <c r="D10" s="23"/>
      <c r="E10" s="23"/>
      <c r="F10" s="23"/>
    </row>
    <row r="11" customFormat="false" ht="18" hidden="false" customHeight="true" outlineLevel="0" collapsed="false">
      <c r="A11" s="22" t="s">
        <v>130</v>
      </c>
      <c r="B11" s="23" t="s">
        <v>131</v>
      </c>
      <c r="C11" s="23"/>
      <c r="D11" s="23"/>
      <c r="E11" s="23"/>
      <c r="F11" s="23"/>
    </row>
    <row r="12" customFormat="false" ht="18" hidden="false" customHeight="true" outlineLevel="0" collapsed="false">
      <c r="A12" s="22" t="s">
        <v>132</v>
      </c>
      <c r="B12" s="23" t="s">
        <v>133</v>
      </c>
      <c r="C12" s="23"/>
      <c r="D12" s="23"/>
      <c r="E12" s="23"/>
      <c r="F12" s="23"/>
    </row>
    <row r="13" customFormat="false" ht="18" hidden="false" customHeight="true" outlineLevel="0" collapsed="false">
      <c r="A13" s="22" t="s">
        <v>134</v>
      </c>
      <c r="B13" s="23" t="s">
        <v>135</v>
      </c>
      <c r="C13" s="23"/>
      <c r="D13" s="23"/>
      <c r="E13" s="23"/>
      <c r="F13" s="23"/>
    </row>
    <row r="14" customFormat="false" ht="18" hidden="false" customHeight="true" outlineLevel="0" collapsed="false">
      <c r="A14" s="22" t="s">
        <v>136</v>
      </c>
      <c r="B14" s="23" t="s">
        <v>137</v>
      </c>
      <c r="C14" s="23"/>
      <c r="D14" s="23"/>
      <c r="E14" s="23"/>
      <c r="F14" s="23"/>
    </row>
    <row r="15" customFormat="false" ht="18" hidden="false" customHeight="true" outlineLevel="0" collapsed="false">
      <c r="A15" s="22" t="s">
        <v>138</v>
      </c>
      <c r="B15" s="23" t="s">
        <v>139</v>
      </c>
      <c r="C15" s="23"/>
      <c r="D15" s="23"/>
      <c r="E15" s="23"/>
      <c r="F15" s="23"/>
    </row>
    <row r="16" customFormat="false" ht="18" hidden="false" customHeight="true" outlineLevel="0" collapsed="false">
      <c r="A16" s="22" t="s">
        <v>140</v>
      </c>
      <c r="B16" s="23" t="s">
        <v>141</v>
      </c>
      <c r="C16" s="23"/>
      <c r="D16" s="23"/>
      <c r="E16" s="23"/>
      <c r="F16" s="23"/>
    </row>
    <row r="18" customFormat="false" ht="19.5" hidden="false" customHeight="true" outlineLevel="0" collapsed="false">
      <c r="A18" s="10" t="s">
        <v>142</v>
      </c>
      <c r="B18" s="10" t="s">
        <v>143</v>
      </c>
      <c r="C18" s="10" t="s">
        <v>144</v>
      </c>
      <c r="D18" s="10" t="s">
        <v>145</v>
      </c>
      <c r="E18" s="10" t="s">
        <v>146</v>
      </c>
      <c r="F18" s="10" t="s">
        <v>147</v>
      </c>
    </row>
    <row r="20" customFormat="false" ht="19.5" hidden="false" customHeight="true" outlineLevel="0" collapsed="false">
      <c r="A20" s="21" t="s">
        <v>148</v>
      </c>
      <c r="B20" s="21"/>
      <c r="C20" s="21"/>
      <c r="D20" s="21"/>
      <c r="E20" s="21"/>
      <c r="F20" s="21"/>
    </row>
    <row r="21" customFormat="false" ht="30" hidden="false" customHeight="true" outlineLevel="0" collapsed="false">
      <c r="A21" s="18" t="s">
        <v>149</v>
      </c>
      <c r="B21" s="7" t="s">
        <v>150</v>
      </c>
      <c r="C21" s="24" t="s">
        <v>151</v>
      </c>
      <c r="D21" s="11" t="n">
        <f aca="false">IF(C21="","",IF(C21="Not Applicable","N/A",IF(C21="Yes",2,IF(OR(C21="Partial",C21="Compensating Control"),1,0))))</f>
        <v>2</v>
      </c>
      <c r="E21" s="25" t="s">
        <v>152</v>
      </c>
      <c r="F21" s="25"/>
    </row>
    <row r="22" customFormat="false" ht="30" hidden="false" customHeight="true" outlineLevel="0" collapsed="false">
      <c r="A22" s="18" t="s">
        <v>153</v>
      </c>
      <c r="B22" s="7" t="s">
        <v>154</v>
      </c>
      <c r="C22" s="24" t="s">
        <v>151</v>
      </c>
      <c r="D22" s="11" t="n">
        <f aca="false">IF(C22="","",IF(C22="Not Applicable","N/A",IF(C22="Yes",2,IF(OR(C22="Partial",C22="Compensating Control"),1,0))))</f>
        <v>2</v>
      </c>
      <c r="E22" s="25" t="s">
        <v>155</v>
      </c>
      <c r="F22" s="25"/>
    </row>
    <row r="23" customFormat="false" ht="30" hidden="false" customHeight="true" outlineLevel="0" collapsed="false">
      <c r="A23" s="18" t="s">
        <v>156</v>
      </c>
      <c r="B23" s="7" t="s">
        <v>157</v>
      </c>
      <c r="C23" s="24" t="s">
        <v>151</v>
      </c>
      <c r="D23" s="11" t="n">
        <f aca="false">IF(C23="","",IF(C23="Not Applicable","N/A",IF(C23="Yes",2,IF(OR(C23="Partial",C23="Compensating Control"),1,0))))</f>
        <v>2</v>
      </c>
      <c r="E23" s="25" t="s">
        <v>158</v>
      </c>
      <c r="F23" s="25"/>
    </row>
    <row r="24" customFormat="false" ht="30" hidden="false" customHeight="true" outlineLevel="0" collapsed="false">
      <c r="A24" s="18" t="s">
        <v>159</v>
      </c>
      <c r="B24" s="7" t="s">
        <v>160</v>
      </c>
      <c r="C24" s="24" t="s">
        <v>151</v>
      </c>
      <c r="D24" s="11" t="n">
        <f aca="false">IF(C24="","",IF(C24="Not Applicable","N/A",IF(C24="Yes",2,IF(OR(C24="Partial",C24="Compensating Control"),1,0))))</f>
        <v>2</v>
      </c>
      <c r="E24" s="25" t="s">
        <v>161</v>
      </c>
      <c r="F24" s="25"/>
    </row>
    <row r="25" customFormat="false" ht="30" hidden="false" customHeight="true" outlineLevel="0" collapsed="false">
      <c r="A25" s="18" t="s">
        <v>162</v>
      </c>
      <c r="B25" s="7" t="s">
        <v>163</v>
      </c>
      <c r="C25" s="24" t="s">
        <v>151</v>
      </c>
      <c r="D25" s="11" t="n">
        <f aca="false">IF(C25="","",IF(C25="Not Applicable","N/A",IF(C25="Yes",2,IF(OR(C25="Partial",C25="Compensating Control"),1,0))))</f>
        <v>2</v>
      </c>
      <c r="E25" s="25" t="s">
        <v>164</v>
      </c>
      <c r="F25" s="25"/>
    </row>
    <row r="26" customFormat="false" ht="19.5" hidden="false" customHeight="true" outlineLevel="0" collapsed="false">
      <c r="A26" s="26" t="s">
        <v>165</v>
      </c>
      <c r="B26" s="26"/>
      <c r="C26" s="26"/>
      <c r="D26" s="27" t="n">
        <f aca="false">IFERROR(SUM(D21:D25)/(2*COUNT(D21:D25)),"")</f>
        <v>1</v>
      </c>
      <c r="E26" s="28"/>
      <c r="F26" s="28"/>
    </row>
    <row r="28" customFormat="false" ht="19.5" hidden="false" customHeight="true" outlineLevel="0" collapsed="false">
      <c r="A28" s="21" t="s">
        <v>166</v>
      </c>
      <c r="B28" s="21"/>
      <c r="C28" s="21"/>
      <c r="D28" s="21"/>
      <c r="E28" s="21"/>
      <c r="F28" s="21"/>
    </row>
    <row r="29" customFormat="false" ht="30" hidden="false" customHeight="true" outlineLevel="0" collapsed="false">
      <c r="A29" s="18" t="s">
        <v>167</v>
      </c>
      <c r="B29" s="7" t="s">
        <v>168</v>
      </c>
      <c r="C29" s="24" t="s">
        <v>151</v>
      </c>
      <c r="D29" s="11" t="n">
        <f aca="false">IF(C29="","",IF(C29="Not Applicable","N/A",IF(C29="Yes",2,IF(OR(C29="Partial",C29="Compensating Control"),1,0))))</f>
        <v>2</v>
      </c>
      <c r="E29" s="25" t="s">
        <v>169</v>
      </c>
      <c r="F29" s="25"/>
    </row>
    <row r="30" customFormat="false" ht="30" hidden="false" customHeight="true" outlineLevel="0" collapsed="false">
      <c r="A30" s="18" t="s">
        <v>170</v>
      </c>
      <c r="B30" s="7" t="s">
        <v>171</v>
      </c>
      <c r="C30" s="24" t="s">
        <v>172</v>
      </c>
      <c r="D30" s="11" t="n">
        <f aca="false">IF(C30="","",IF(C30="Not Applicable","N/A",IF(C30="Yes",2,IF(OR(C30="Partial",C30="Compensating Control"),1,0))))</f>
        <v>1</v>
      </c>
      <c r="E30" s="25" t="s">
        <v>173</v>
      </c>
      <c r="F30" s="25" t="s">
        <v>174</v>
      </c>
    </row>
    <row r="31" customFormat="false" ht="30" hidden="false" customHeight="true" outlineLevel="0" collapsed="false">
      <c r="A31" s="18" t="s">
        <v>175</v>
      </c>
      <c r="B31" s="7" t="s">
        <v>176</v>
      </c>
      <c r="C31" s="24" t="s">
        <v>151</v>
      </c>
      <c r="D31" s="11" t="n">
        <f aca="false">IF(C31="","",IF(C31="Not Applicable","N/A",IF(C31="Yes",2,IF(OR(C31="Partial",C31="Compensating Control"),1,0))))</f>
        <v>2</v>
      </c>
      <c r="E31" s="25" t="s">
        <v>177</v>
      </c>
      <c r="F31" s="25"/>
    </row>
    <row r="32" customFormat="false" ht="30" hidden="false" customHeight="true" outlineLevel="0" collapsed="false">
      <c r="A32" s="18" t="s">
        <v>178</v>
      </c>
      <c r="B32" s="7" t="s">
        <v>179</v>
      </c>
      <c r="C32" s="24" t="s">
        <v>151</v>
      </c>
      <c r="D32" s="11" t="n">
        <f aca="false">IF(C32="","",IF(C32="Not Applicable","N/A",IF(C32="Yes",2,IF(OR(C32="Partial",C32="Compensating Control"),1,0))))</f>
        <v>2</v>
      </c>
      <c r="E32" s="25" t="s">
        <v>180</v>
      </c>
      <c r="F32" s="25"/>
    </row>
    <row r="33" customFormat="false" ht="30" hidden="false" customHeight="true" outlineLevel="0" collapsed="false">
      <c r="A33" s="18" t="s">
        <v>181</v>
      </c>
      <c r="B33" s="7" t="s">
        <v>182</v>
      </c>
      <c r="C33" s="24" t="s">
        <v>151</v>
      </c>
      <c r="D33" s="11" t="n">
        <f aca="false">IF(C33="","",IF(C33="Not Applicable","N/A",IF(C33="Yes",2,IF(OR(C33="Partial",C33="Compensating Control"),1,0))))</f>
        <v>2</v>
      </c>
      <c r="E33" s="25" t="s">
        <v>183</v>
      </c>
      <c r="F33" s="25"/>
    </row>
    <row r="34" customFormat="false" ht="30" hidden="false" customHeight="true" outlineLevel="0" collapsed="false">
      <c r="A34" s="18" t="s">
        <v>184</v>
      </c>
      <c r="B34" s="7" t="s">
        <v>185</v>
      </c>
      <c r="C34" s="24" t="s">
        <v>172</v>
      </c>
      <c r="D34" s="11" t="n">
        <f aca="false">IF(C34="","",IF(C34="Not Applicable","N/A",IF(C34="Yes",2,IF(OR(C34="Partial",C34="Compensating Control"),1,0))))</f>
        <v>1</v>
      </c>
      <c r="E34" s="25" t="s">
        <v>186</v>
      </c>
      <c r="F34" s="25" t="s">
        <v>187</v>
      </c>
    </row>
    <row r="35" customFormat="false" ht="30" hidden="false" customHeight="true" outlineLevel="0" collapsed="false">
      <c r="A35" s="18" t="s">
        <v>188</v>
      </c>
      <c r="B35" s="7" t="s">
        <v>189</v>
      </c>
      <c r="C35" s="24" t="s">
        <v>151</v>
      </c>
      <c r="D35" s="11" t="n">
        <f aca="false">IF(C35="","",IF(C35="Not Applicable","N/A",IF(C35="Yes",2,IF(OR(C35="Partial",C35="Compensating Control"),1,0))))</f>
        <v>2</v>
      </c>
      <c r="E35" s="25" t="s">
        <v>190</v>
      </c>
      <c r="F35" s="25"/>
    </row>
    <row r="36" customFormat="false" ht="30" hidden="false" customHeight="true" outlineLevel="0" collapsed="false">
      <c r="A36" s="18" t="s">
        <v>191</v>
      </c>
      <c r="B36" s="7" t="s">
        <v>192</v>
      </c>
      <c r="C36" s="24" t="s">
        <v>151</v>
      </c>
      <c r="D36" s="11" t="n">
        <f aca="false">IF(C36="","",IF(C36="Not Applicable","N/A",IF(C36="Yes",2,IF(OR(C36="Partial",C36="Compensating Control"),1,0))))</f>
        <v>2</v>
      </c>
      <c r="E36" s="25" t="s">
        <v>193</v>
      </c>
      <c r="F36" s="25"/>
    </row>
    <row r="37" customFormat="false" ht="19.5" hidden="false" customHeight="true" outlineLevel="0" collapsed="false">
      <c r="A37" s="26" t="s">
        <v>194</v>
      </c>
      <c r="B37" s="26"/>
      <c r="C37" s="26"/>
      <c r="D37" s="27" t="n">
        <f aca="false">IFERROR(SUM(D29:D36)/(2*COUNT(D29:D36)),"")</f>
        <v>0.875</v>
      </c>
      <c r="E37" s="28"/>
      <c r="F37" s="28"/>
    </row>
    <row r="39" customFormat="false" ht="19.5" hidden="false" customHeight="true" outlineLevel="0" collapsed="false">
      <c r="A39" s="21" t="s">
        <v>195</v>
      </c>
      <c r="B39" s="21"/>
      <c r="C39" s="21"/>
      <c r="D39" s="21"/>
      <c r="E39" s="21"/>
      <c r="F39" s="21"/>
    </row>
    <row r="40" customFormat="false" ht="30" hidden="false" customHeight="true" outlineLevel="0" collapsed="false">
      <c r="A40" s="18" t="s">
        <v>196</v>
      </c>
      <c r="B40" s="7" t="s">
        <v>197</v>
      </c>
      <c r="C40" s="24" t="s">
        <v>151</v>
      </c>
      <c r="D40" s="11" t="n">
        <f aca="false">IF(C40="","",IF(C40="Not Applicable","N/A",IF(C40="Yes",2,IF(OR(C40="Partial",C40="Compensating Control"),1,0))))</f>
        <v>2</v>
      </c>
      <c r="E40" s="25" t="s">
        <v>198</v>
      </c>
      <c r="F40" s="25"/>
    </row>
    <row r="41" customFormat="false" ht="30" hidden="false" customHeight="true" outlineLevel="0" collapsed="false">
      <c r="A41" s="18" t="s">
        <v>199</v>
      </c>
      <c r="B41" s="7" t="s">
        <v>200</v>
      </c>
      <c r="C41" s="24" t="s">
        <v>151</v>
      </c>
      <c r="D41" s="11" t="n">
        <f aca="false">IF(C41="","",IF(C41="Not Applicable","N/A",IF(C41="Yes",2,IF(OR(C41="Partial",C41="Compensating Control"),1,0))))</f>
        <v>2</v>
      </c>
      <c r="E41" s="25" t="s">
        <v>201</v>
      </c>
      <c r="F41" s="25"/>
    </row>
    <row r="42" customFormat="false" ht="30" hidden="false" customHeight="true" outlineLevel="0" collapsed="false">
      <c r="A42" s="18" t="s">
        <v>202</v>
      </c>
      <c r="B42" s="7" t="s">
        <v>203</v>
      </c>
      <c r="C42" s="24" t="s">
        <v>151</v>
      </c>
      <c r="D42" s="11" t="n">
        <f aca="false">IF(C42="","",IF(C42="Not Applicable","N/A",IF(C42="Yes",2,IF(OR(C42="Partial",C42="Compensating Control"),1,0))))</f>
        <v>2</v>
      </c>
      <c r="E42" s="25" t="s">
        <v>204</v>
      </c>
      <c r="F42" s="25"/>
    </row>
    <row r="43" customFormat="false" ht="30" hidden="false" customHeight="true" outlineLevel="0" collapsed="false">
      <c r="A43" s="18" t="s">
        <v>205</v>
      </c>
      <c r="B43" s="7" t="s">
        <v>206</v>
      </c>
      <c r="C43" s="24" t="s">
        <v>151</v>
      </c>
      <c r="D43" s="11" t="n">
        <f aca="false">IF(C43="","",IF(C43="Not Applicable","N/A",IF(C43="Yes",2,IF(OR(C43="Partial",C43="Compensating Control"),1,0))))</f>
        <v>2</v>
      </c>
      <c r="E43" s="25" t="s">
        <v>207</v>
      </c>
      <c r="F43" s="25"/>
    </row>
    <row r="44" customFormat="false" ht="30" hidden="false" customHeight="true" outlineLevel="0" collapsed="false">
      <c r="A44" s="18" t="s">
        <v>208</v>
      </c>
      <c r="B44" s="7" t="s">
        <v>209</v>
      </c>
      <c r="C44" s="24" t="s">
        <v>151</v>
      </c>
      <c r="D44" s="11" t="n">
        <f aca="false">IF(C44="","",IF(C44="Not Applicable","N/A",IF(C44="Yes",2,IF(OR(C44="Partial",C44="Compensating Control"),1,0))))</f>
        <v>2</v>
      </c>
      <c r="E44" s="25" t="s">
        <v>210</v>
      </c>
      <c r="F44" s="25"/>
    </row>
    <row r="45" customFormat="false" ht="30" hidden="false" customHeight="true" outlineLevel="0" collapsed="false">
      <c r="A45" s="18" t="s">
        <v>211</v>
      </c>
      <c r="B45" s="7" t="s">
        <v>212</v>
      </c>
      <c r="C45" s="24" t="s">
        <v>151</v>
      </c>
      <c r="D45" s="11" t="n">
        <f aca="false">IF(C45="","",IF(C45="Not Applicable","N/A",IF(C45="Yes",2,IF(OR(C45="Partial",C45="Compensating Control"),1,0))))</f>
        <v>2</v>
      </c>
      <c r="E45" s="25" t="s">
        <v>213</v>
      </c>
      <c r="F45" s="25"/>
    </row>
    <row r="46" customFormat="false" ht="19.5" hidden="false" customHeight="true" outlineLevel="0" collapsed="false">
      <c r="A46" s="26" t="s">
        <v>214</v>
      </c>
      <c r="B46" s="26"/>
      <c r="C46" s="26"/>
      <c r="D46" s="27" t="n">
        <f aca="false">IFERROR(SUM(D40:D45)/(2*COUNT(D40:D45)),"")</f>
        <v>1</v>
      </c>
      <c r="E46" s="28"/>
      <c r="F46" s="28"/>
    </row>
    <row r="48" customFormat="false" ht="19.5" hidden="false" customHeight="true" outlineLevel="0" collapsed="false">
      <c r="A48" s="21" t="s">
        <v>215</v>
      </c>
      <c r="B48" s="21"/>
      <c r="C48" s="21"/>
      <c r="D48" s="21"/>
      <c r="E48" s="21"/>
      <c r="F48" s="21"/>
    </row>
    <row r="49" customFormat="false" ht="30" hidden="false" customHeight="true" outlineLevel="0" collapsed="false">
      <c r="A49" s="18" t="s">
        <v>216</v>
      </c>
      <c r="B49" s="7" t="s">
        <v>217</v>
      </c>
      <c r="C49" s="24" t="s">
        <v>151</v>
      </c>
      <c r="D49" s="11" t="n">
        <f aca="false">IF(C49="","",IF(C49="Not Applicable","N/A",IF(C49="Yes",2,IF(OR(C49="Partial",C49="Compensating Control"),1,0))))</f>
        <v>2</v>
      </c>
      <c r="E49" s="25" t="s">
        <v>218</v>
      </c>
      <c r="F49" s="25"/>
    </row>
    <row r="50" customFormat="false" ht="30" hidden="false" customHeight="true" outlineLevel="0" collapsed="false">
      <c r="A50" s="18" t="s">
        <v>219</v>
      </c>
      <c r="B50" s="7" t="s">
        <v>220</v>
      </c>
      <c r="C50" s="24" t="s">
        <v>172</v>
      </c>
      <c r="D50" s="11" t="n">
        <f aca="false">IF(C50="","",IF(C50="Not Applicable","N/A",IF(C50="Yes",2,IF(OR(C50="Partial",C50="Compensating Control"),1,0))))</f>
        <v>1</v>
      </c>
      <c r="E50" s="25" t="s">
        <v>221</v>
      </c>
      <c r="F50" s="25" t="s">
        <v>222</v>
      </c>
    </row>
    <row r="51" customFormat="false" ht="30" hidden="false" customHeight="true" outlineLevel="0" collapsed="false">
      <c r="A51" s="18" t="s">
        <v>223</v>
      </c>
      <c r="B51" s="7" t="s">
        <v>224</v>
      </c>
      <c r="C51" s="24" t="s">
        <v>151</v>
      </c>
      <c r="D51" s="11" t="n">
        <f aca="false">IF(C51="","",IF(C51="Not Applicable","N/A",IF(C51="Yes",2,IF(OR(C51="Partial",C51="Compensating Control"),1,0))))</f>
        <v>2</v>
      </c>
      <c r="E51" s="25" t="s">
        <v>225</v>
      </c>
      <c r="F51" s="25"/>
    </row>
    <row r="52" customFormat="false" ht="30" hidden="false" customHeight="true" outlineLevel="0" collapsed="false">
      <c r="A52" s="18" t="s">
        <v>226</v>
      </c>
      <c r="B52" s="7" t="s">
        <v>227</v>
      </c>
      <c r="C52" s="24" t="s">
        <v>151</v>
      </c>
      <c r="D52" s="11" t="n">
        <f aca="false">IF(C52="","",IF(C52="Not Applicable","N/A",IF(C52="Yes",2,IF(OR(C52="Partial",C52="Compensating Control"),1,0))))</f>
        <v>2</v>
      </c>
      <c r="E52" s="25" t="s">
        <v>228</v>
      </c>
      <c r="F52" s="25"/>
    </row>
    <row r="53" customFormat="false" ht="30" hidden="false" customHeight="true" outlineLevel="0" collapsed="false">
      <c r="A53" s="18" t="s">
        <v>229</v>
      </c>
      <c r="B53" s="7" t="s">
        <v>230</v>
      </c>
      <c r="C53" s="24" t="s">
        <v>151</v>
      </c>
      <c r="D53" s="11" t="n">
        <f aca="false">IF(C53="","",IF(C53="Not Applicable","N/A",IF(C53="Yes",2,IF(OR(C53="Partial",C53="Compensating Control"),1,0))))</f>
        <v>2</v>
      </c>
      <c r="E53" s="25" t="s">
        <v>231</v>
      </c>
      <c r="F53" s="25"/>
    </row>
    <row r="54" customFormat="false" ht="30" hidden="false" customHeight="true" outlineLevel="0" collapsed="false">
      <c r="A54" s="18" t="s">
        <v>232</v>
      </c>
      <c r="B54" s="7" t="s">
        <v>233</v>
      </c>
      <c r="C54" s="24" t="s">
        <v>151</v>
      </c>
      <c r="D54" s="11" t="n">
        <f aca="false">IF(C54="","",IF(C54="Not Applicable","N/A",IF(C54="Yes",2,IF(OR(C54="Partial",C54="Compensating Control"),1,0))))</f>
        <v>2</v>
      </c>
      <c r="E54" s="25" t="s">
        <v>234</v>
      </c>
      <c r="F54" s="25"/>
    </row>
    <row r="55" customFormat="false" ht="30" hidden="false" customHeight="true" outlineLevel="0" collapsed="false">
      <c r="A55" s="18" t="s">
        <v>235</v>
      </c>
      <c r="B55" s="7" t="s">
        <v>236</v>
      </c>
      <c r="C55" s="24" t="s">
        <v>172</v>
      </c>
      <c r="D55" s="11" t="n">
        <f aca="false">IF(C55="","",IF(C55="Not Applicable","N/A",IF(C55="Yes",2,IF(OR(C55="Partial",C55="Compensating Control"),1,0))))</f>
        <v>1</v>
      </c>
      <c r="E55" s="25" t="s">
        <v>237</v>
      </c>
      <c r="F55" s="25" t="s">
        <v>238</v>
      </c>
    </row>
    <row r="56" customFormat="false" ht="19.5" hidden="false" customHeight="true" outlineLevel="0" collapsed="false">
      <c r="A56" s="26" t="s">
        <v>239</v>
      </c>
      <c r="B56" s="26"/>
      <c r="C56" s="26"/>
      <c r="D56" s="27" t="n">
        <f aca="false">IFERROR(SUM(D49:D55)/(2*COUNT(D49:D55)),"")</f>
        <v>0.857142857142857</v>
      </c>
      <c r="E56" s="28"/>
      <c r="F56" s="28"/>
    </row>
    <row r="58" customFormat="false" ht="19.5" hidden="false" customHeight="true" outlineLevel="0" collapsed="false">
      <c r="A58" s="21" t="s">
        <v>240</v>
      </c>
      <c r="B58" s="21"/>
      <c r="C58" s="21"/>
      <c r="D58" s="21"/>
      <c r="E58" s="21"/>
      <c r="F58" s="21"/>
    </row>
    <row r="59" customFormat="false" ht="30" hidden="false" customHeight="true" outlineLevel="0" collapsed="false">
      <c r="A59" s="18" t="s">
        <v>241</v>
      </c>
      <c r="B59" s="7" t="s">
        <v>242</v>
      </c>
      <c r="C59" s="24" t="s">
        <v>151</v>
      </c>
      <c r="D59" s="11" t="n">
        <f aca="false">IF(C59="","",IF(C59="Not Applicable","N/A",IF(C59="Yes",2,IF(OR(C59="Partial",C59="Compensating Control"),1,0))))</f>
        <v>2</v>
      </c>
      <c r="E59" s="25" t="s">
        <v>243</v>
      </c>
      <c r="F59" s="25"/>
    </row>
    <row r="60" customFormat="false" ht="30" hidden="false" customHeight="true" outlineLevel="0" collapsed="false">
      <c r="A60" s="18" t="s">
        <v>244</v>
      </c>
      <c r="B60" s="7" t="s">
        <v>245</v>
      </c>
      <c r="C60" s="24" t="s">
        <v>151</v>
      </c>
      <c r="D60" s="11" t="n">
        <f aca="false">IF(C60="","",IF(C60="Not Applicable","N/A",IF(C60="Yes",2,IF(OR(C60="Partial",C60="Compensating Control"),1,0))))</f>
        <v>2</v>
      </c>
      <c r="E60" s="25" t="s">
        <v>246</v>
      </c>
      <c r="F60" s="25"/>
    </row>
    <row r="61" customFormat="false" ht="30" hidden="false" customHeight="true" outlineLevel="0" collapsed="false">
      <c r="A61" s="18" t="s">
        <v>247</v>
      </c>
      <c r="B61" s="7" t="s">
        <v>248</v>
      </c>
      <c r="C61" s="24" t="s">
        <v>151</v>
      </c>
      <c r="D61" s="11" t="n">
        <f aca="false">IF(C61="","",IF(C61="Not Applicable","N/A",IF(C61="Yes",2,IF(OR(C61="Partial",C61="Compensating Control"),1,0))))</f>
        <v>2</v>
      </c>
      <c r="E61" s="25" t="s">
        <v>249</v>
      </c>
      <c r="F61" s="25"/>
    </row>
    <row r="62" customFormat="false" ht="30" hidden="false" customHeight="true" outlineLevel="0" collapsed="false">
      <c r="A62" s="18" t="s">
        <v>250</v>
      </c>
      <c r="B62" s="7" t="s">
        <v>251</v>
      </c>
      <c r="C62" s="24" t="s">
        <v>172</v>
      </c>
      <c r="D62" s="11" t="n">
        <f aca="false">IF(C62="","",IF(C62="Not Applicable","N/A",IF(C62="Yes",2,IF(OR(C62="Partial",C62="Compensating Control"),1,0))))</f>
        <v>1</v>
      </c>
      <c r="E62" s="25" t="s">
        <v>252</v>
      </c>
      <c r="F62" s="25" t="s">
        <v>253</v>
      </c>
    </row>
    <row r="63" customFormat="false" ht="30" hidden="false" customHeight="true" outlineLevel="0" collapsed="false">
      <c r="A63" s="18" t="s">
        <v>254</v>
      </c>
      <c r="B63" s="7" t="s">
        <v>255</v>
      </c>
      <c r="C63" s="24" t="s">
        <v>256</v>
      </c>
      <c r="D63" s="11" t="str">
        <f aca="false">IF(C63="","",IF(C63="Not Applicable","N/A",IF(C63="Yes",2,IF(OR(C63="Partial",C63="Compensating Control"),1,0))))</f>
        <v>N/A</v>
      </c>
      <c r="E63" s="25"/>
      <c r="F63" s="25" t="s">
        <v>257</v>
      </c>
    </row>
    <row r="64" customFormat="false" ht="30" hidden="false" customHeight="true" outlineLevel="0" collapsed="false">
      <c r="A64" s="18" t="s">
        <v>258</v>
      </c>
      <c r="B64" s="7" t="s">
        <v>259</v>
      </c>
      <c r="C64" s="24" t="s">
        <v>172</v>
      </c>
      <c r="D64" s="11" t="n">
        <f aca="false">IF(C64="","",IF(C64="Not Applicable","N/A",IF(C64="Yes",2,IF(OR(C64="Partial",C64="Compensating Control"),1,0))))</f>
        <v>1</v>
      </c>
      <c r="E64" s="25" t="s">
        <v>260</v>
      </c>
      <c r="F64" s="25" t="s">
        <v>261</v>
      </c>
    </row>
    <row r="65" customFormat="false" ht="30" hidden="false" customHeight="true" outlineLevel="0" collapsed="false">
      <c r="A65" s="18" t="s">
        <v>262</v>
      </c>
      <c r="B65" s="7" t="s">
        <v>263</v>
      </c>
      <c r="C65" s="24" t="s">
        <v>151</v>
      </c>
      <c r="D65" s="11" t="n">
        <f aca="false">IF(C65="","",IF(C65="Not Applicable","N/A",IF(C65="Yes",2,IF(OR(C65="Partial",C65="Compensating Control"),1,0))))</f>
        <v>2</v>
      </c>
      <c r="E65" s="25" t="s">
        <v>264</v>
      </c>
      <c r="F65" s="25"/>
    </row>
    <row r="66" customFormat="false" ht="19.5" hidden="false" customHeight="true" outlineLevel="0" collapsed="false">
      <c r="A66" s="26" t="s">
        <v>265</v>
      </c>
      <c r="B66" s="26"/>
      <c r="C66" s="26"/>
      <c r="D66" s="27" t="n">
        <f aca="false">IFERROR(SUM(D59:D65)/(2*COUNT(D59:D65)),"")</f>
        <v>0.833333333333333</v>
      </c>
      <c r="E66" s="28"/>
      <c r="F66" s="28"/>
    </row>
    <row r="68" customFormat="false" ht="19.5" hidden="false" customHeight="true" outlineLevel="0" collapsed="false">
      <c r="A68" s="21" t="s">
        <v>266</v>
      </c>
      <c r="B68" s="21"/>
      <c r="C68" s="21"/>
      <c r="D68" s="21"/>
      <c r="E68" s="21"/>
      <c r="F68" s="21"/>
    </row>
    <row r="69" customFormat="false" ht="30" hidden="false" customHeight="true" outlineLevel="0" collapsed="false">
      <c r="A69" s="18" t="s">
        <v>267</v>
      </c>
      <c r="B69" s="7" t="s">
        <v>268</v>
      </c>
      <c r="C69" s="24" t="s">
        <v>151</v>
      </c>
      <c r="D69" s="11" t="n">
        <f aca="false">IF(C69="","",IF(C69="Not Applicable","N/A",IF(C69="Yes",2,IF(OR(C69="Partial",C69="Compensating Control"),1,0))))</f>
        <v>2</v>
      </c>
      <c r="E69" s="25" t="s">
        <v>269</v>
      </c>
      <c r="F69" s="25"/>
    </row>
    <row r="70" customFormat="false" ht="30" hidden="false" customHeight="true" outlineLevel="0" collapsed="false">
      <c r="A70" s="18" t="s">
        <v>270</v>
      </c>
      <c r="B70" s="7" t="s">
        <v>271</v>
      </c>
      <c r="C70" s="24" t="s">
        <v>151</v>
      </c>
      <c r="D70" s="11" t="n">
        <f aca="false">IF(C70="","",IF(C70="Not Applicable","N/A",IF(C70="Yes",2,IF(OR(C70="Partial",C70="Compensating Control"),1,0))))</f>
        <v>2</v>
      </c>
      <c r="E70" s="25" t="s">
        <v>272</v>
      </c>
      <c r="F70" s="25" t="s">
        <v>273</v>
      </c>
    </row>
    <row r="71" customFormat="false" ht="30" hidden="false" customHeight="true" outlineLevel="0" collapsed="false">
      <c r="A71" s="18" t="s">
        <v>274</v>
      </c>
      <c r="B71" s="7" t="s">
        <v>275</v>
      </c>
      <c r="C71" s="24" t="s">
        <v>151</v>
      </c>
      <c r="D71" s="11" t="n">
        <f aca="false">IF(C71="","",IF(C71="Not Applicable","N/A",IF(C71="Yes",2,IF(OR(C71="Partial",C71="Compensating Control"),1,0))))</f>
        <v>2</v>
      </c>
      <c r="E71" s="25" t="s">
        <v>276</v>
      </c>
      <c r="F71" s="25"/>
    </row>
    <row r="72" customFormat="false" ht="30" hidden="false" customHeight="true" outlineLevel="0" collapsed="false">
      <c r="A72" s="18" t="s">
        <v>277</v>
      </c>
      <c r="B72" s="7" t="s">
        <v>278</v>
      </c>
      <c r="C72" s="24" t="s">
        <v>151</v>
      </c>
      <c r="D72" s="11" t="n">
        <f aca="false">IF(C72="","",IF(C72="Not Applicable","N/A",IF(C72="Yes",2,IF(OR(C72="Partial",C72="Compensating Control"),1,0))))</f>
        <v>2</v>
      </c>
      <c r="E72" s="25" t="s">
        <v>279</v>
      </c>
      <c r="F72" s="25"/>
    </row>
    <row r="73" customFormat="false" ht="30" hidden="false" customHeight="true" outlineLevel="0" collapsed="false">
      <c r="A73" s="18" t="s">
        <v>280</v>
      </c>
      <c r="B73" s="7" t="s">
        <v>281</v>
      </c>
      <c r="C73" s="24" t="s">
        <v>172</v>
      </c>
      <c r="D73" s="11" t="n">
        <f aca="false">IF(C73="","",IF(C73="Not Applicable","N/A",IF(C73="Yes",2,IF(OR(C73="Partial",C73="Compensating Control"),1,0))))</f>
        <v>1</v>
      </c>
      <c r="E73" s="25" t="s">
        <v>282</v>
      </c>
      <c r="F73" s="25" t="s">
        <v>283</v>
      </c>
    </row>
    <row r="74" customFormat="false" ht="30" hidden="false" customHeight="true" outlineLevel="0" collapsed="false">
      <c r="A74" s="18" t="s">
        <v>284</v>
      </c>
      <c r="B74" s="7" t="s">
        <v>285</v>
      </c>
      <c r="C74" s="24" t="s">
        <v>151</v>
      </c>
      <c r="D74" s="11" t="n">
        <f aca="false">IF(C74="","",IF(C74="Not Applicable","N/A",IF(C74="Yes",2,IF(OR(C74="Partial",C74="Compensating Control"),1,0))))</f>
        <v>2</v>
      </c>
      <c r="E74" s="25" t="s">
        <v>286</v>
      </c>
      <c r="F74" s="25"/>
    </row>
    <row r="75" customFormat="false" ht="30" hidden="false" customHeight="true" outlineLevel="0" collapsed="false">
      <c r="A75" s="18" t="s">
        <v>287</v>
      </c>
      <c r="B75" s="7" t="s">
        <v>288</v>
      </c>
      <c r="C75" s="24" t="s">
        <v>151</v>
      </c>
      <c r="D75" s="11" t="n">
        <f aca="false">IF(C75="","",IF(C75="Not Applicable","N/A",IF(C75="Yes",2,IF(OR(C75="Partial",C75="Compensating Control"),1,0))))</f>
        <v>2</v>
      </c>
      <c r="E75" s="25" t="s">
        <v>289</v>
      </c>
      <c r="F75" s="25"/>
    </row>
    <row r="76" customFormat="false" ht="19.5" hidden="false" customHeight="true" outlineLevel="0" collapsed="false">
      <c r="A76" s="26" t="s">
        <v>290</v>
      </c>
      <c r="B76" s="26"/>
      <c r="C76" s="26"/>
      <c r="D76" s="27" t="n">
        <f aca="false">IFERROR(SUM(D69:D75)/(2*COUNT(D69:D75)),"")</f>
        <v>0.928571428571429</v>
      </c>
      <c r="E76" s="28"/>
      <c r="F76" s="28"/>
    </row>
    <row r="78" customFormat="false" ht="19.5" hidden="false" customHeight="true" outlineLevel="0" collapsed="false">
      <c r="A78" s="21" t="s">
        <v>291</v>
      </c>
      <c r="B78" s="21"/>
      <c r="C78" s="21"/>
      <c r="D78" s="21"/>
      <c r="E78" s="21"/>
      <c r="F78" s="21"/>
    </row>
    <row r="79" customFormat="false" ht="30" hidden="false" customHeight="true" outlineLevel="0" collapsed="false">
      <c r="A79" s="18" t="s">
        <v>292</v>
      </c>
      <c r="B79" s="7" t="s">
        <v>293</v>
      </c>
      <c r="C79" s="24" t="s">
        <v>151</v>
      </c>
      <c r="D79" s="11" t="n">
        <f aca="false">IF(C79="","",IF(C79="Not Applicable","N/A",IF(C79="Yes",2,IF(OR(C79="Partial",C79="Compensating Control"),1,0))))</f>
        <v>2</v>
      </c>
      <c r="E79" s="25" t="s">
        <v>294</v>
      </c>
      <c r="F79" s="25"/>
    </row>
    <row r="80" customFormat="false" ht="30" hidden="false" customHeight="true" outlineLevel="0" collapsed="false">
      <c r="A80" s="18" t="s">
        <v>295</v>
      </c>
      <c r="B80" s="7" t="s">
        <v>296</v>
      </c>
      <c r="C80" s="24" t="s">
        <v>151</v>
      </c>
      <c r="D80" s="11" t="n">
        <f aca="false">IF(C80="","",IF(C80="Not Applicable","N/A",IF(C80="Yes",2,IF(OR(C80="Partial",C80="Compensating Control"),1,0))))</f>
        <v>2</v>
      </c>
      <c r="E80" s="25" t="s">
        <v>297</v>
      </c>
      <c r="F80" s="25"/>
    </row>
    <row r="81" customFormat="false" ht="30" hidden="false" customHeight="true" outlineLevel="0" collapsed="false">
      <c r="A81" s="18" t="s">
        <v>298</v>
      </c>
      <c r="B81" s="7" t="s">
        <v>299</v>
      </c>
      <c r="C81" s="24" t="s">
        <v>151</v>
      </c>
      <c r="D81" s="11" t="n">
        <f aca="false">IF(C81="","",IF(C81="Not Applicable","N/A",IF(C81="Yes",2,IF(OR(C81="Partial",C81="Compensating Control"),1,0))))</f>
        <v>2</v>
      </c>
      <c r="E81" s="25" t="s">
        <v>300</v>
      </c>
      <c r="F81" s="25"/>
    </row>
    <row r="82" customFormat="false" ht="30" hidden="false" customHeight="true" outlineLevel="0" collapsed="false">
      <c r="A82" s="18" t="s">
        <v>301</v>
      </c>
      <c r="B82" s="7" t="s">
        <v>302</v>
      </c>
      <c r="C82" s="24" t="s">
        <v>151</v>
      </c>
      <c r="D82" s="11" t="n">
        <f aca="false">IF(C82="","",IF(C82="Not Applicable","N/A",IF(C82="Yes",2,IF(OR(C82="Partial",C82="Compensating Control"),1,0))))</f>
        <v>2</v>
      </c>
      <c r="E82" s="25" t="s">
        <v>303</v>
      </c>
      <c r="F82" s="25"/>
    </row>
    <row r="83" customFormat="false" ht="30" hidden="false" customHeight="true" outlineLevel="0" collapsed="false">
      <c r="A83" s="18" t="s">
        <v>304</v>
      </c>
      <c r="B83" s="7" t="s">
        <v>305</v>
      </c>
      <c r="C83" s="24" t="s">
        <v>151</v>
      </c>
      <c r="D83" s="11" t="n">
        <f aca="false">IF(C83="","",IF(C83="Not Applicable","N/A",IF(C83="Yes",2,IF(OR(C83="Partial",C83="Compensating Control"),1,0))))</f>
        <v>2</v>
      </c>
      <c r="E83" s="25" t="s">
        <v>306</v>
      </c>
      <c r="F83" s="25"/>
    </row>
    <row r="84" customFormat="false" ht="30" hidden="false" customHeight="true" outlineLevel="0" collapsed="false">
      <c r="A84" s="18" t="s">
        <v>307</v>
      </c>
      <c r="B84" s="7" t="s">
        <v>308</v>
      </c>
      <c r="C84" s="24" t="s">
        <v>151</v>
      </c>
      <c r="D84" s="11" t="n">
        <f aca="false">IF(C84="","",IF(C84="Not Applicable","N/A",IF(C84="Yes",2,IF(OR(C84="Partial",C84="Compensating Control"),1,0))))</f>
        <v>2</v>
      </c>
      <c r="E84" s="25" t="s">
        <v>309</v>
      </c>
      <c r="F84" s="25"/>
    </row>
    <row r="85" customFormat="false" ht="30" hidden="false" customHeight="true" outlineLevel="0" collapsed="false">
      <c r="A85" s="18" t="s">
        <v>310</v>
      </c>
      <c r="B85" s="7" t="s">
        <v>311</v>
      </c>
      <c r="C85" s="24" t="s">
        <v>256</v>
      </c>
      <c r="D85" s="11" t="str">
        <f aca="false">IF(C85="","",IF(C85="Not Applicable","N/A",IF(C85="Yes",2,IF(OR(C85="Partial",C85="Compensating Control"),1,0))))</f>
        <v>N/A</v>
      </c>
      <c r="E85" s="25"/>
      <c r="F85" s="25" t="s">
        <v>312</v>
      </c>
    </row>
    <row r="86" customFormat="false" ht="19.5" hidden="false" customHeight="true" outlineLevel="0" collapsed="false">
      <c r="A86" s="26" t="s">
        <v>313</v>
      </c>
      <c r="B86" s="26"/>
      <c r="C86" s="26"/>
      <c r="D86" s="27" t="n">
        <f aca="false">IFERROR(SUM(D79:D85)/(2*COUNT(D79:D85)),"")</f>
        <v>1</v>
      </c>
      <c r="E86" s="28"/>
      <c r="F86" s="28"/>
    </row>
    <row r="88" customFormat="false" ht="19.5" hidden="false" customHeight="true" outlineLevel="0" collapsed="false">
      <c r="A88" s="21" t="s">
        <v>314</v>
      </c>
      <c r="B88" s="21"/>
      <c r="C88" s="21"/>
      <c r="D88" s="21"/>
      <c r="E88" s="21"/>
      <c r="F88" s="21"/>
    </row>
    <row r="89" customFormat="false" ht="30" hidden="false" customHeight="true" outlineLevel="0" collapsed="false">
      <c r="A89" s="18" t="s">
        <v>315</v>
      </c>
      <c r="B89" s="7" t="s">
        <v>316</v>
      </c>
      <c r="C89" s="24" t="s">
        <v>151</v>
      </c>
      <c r="D89" s="11" t="n">
        <f aca="false">IF(C89="","",IF(C89="Not Applicable","N/A",IF(C89="Yes",2,IF(OR(C89="Partial",C89="Compensating Control"),1,0))))</f>
        <v>2</v>
      </c>
      <c r="E89" s="25" t="s">
        <v>317</v>
      </c>
      <c r="F89" s="25"/>
    </row>
    <row r="90" customFormat="false" ht="30" hidden="false" customHeight="true" outlineLevel="0" collapsed="false">
      <c r="A90" s="18" t="s">
        <v>318</v>
      </c>
      <c r="B90" s="7" t="s">
        <v>319</v>
      </c>
      <c r="C90" s="24" t="s">
        <v>151</v>
      </c>
      <c r="D90" s="11" t="n">
        <f aca="false">IF(C90="","",IF(C90="Not Applicable","N/A",IF(C90="Yes",2,IF(OR(C90="Partial",C90="Compensating Control"),1,0))))</f>
        <v>2</v>
      </c>
      <c r="E90" s="25" t="s">
        <v>320</v>
      </c>
      <c r="F90" s="25"/>
    </row>
    <row r="91" customFormat="false" ht="30" hidden="false" customHeight="true" outlineLevel="0" collapsed="false">
      <c r="A91" s="18" t="s">
        <v>321</v>
      </c>
      <c r="B91" s="7" t="s">
        <v>322</v>
      </c>
      <c r="C91" s="24" t="s">
        <v>151</v>
      </c>
      <c r="D91" s="11" t="n">
        <f aca="false">IF(C91="","",IF(C91="Not Applicable","N/A",IF(C91="Yes",2,IF(OR(C91="Partial",C91="Compensating Control"),1,0))))</f>
        <v>2</v>
      </c>
      <c r="E91" s="25" t="s">
        <v>323</v>
      </c>
      <c r="F91" s="25"/>
    </row>
    <row r="92" customFormat="false" ht="30" hidden="false" customHeight="true" outlineLevel="0" collapsed="false">
      <c r="A92" s="18" t="s">
        <v>324</v>
      </c>
      <c r="B92" s="7" t="s">
        <v>325</v>
      </c>
      <c r="C92" s="24" t="s">
        <v>151</v>
      </c>
      <c r="D92" s="11" t="n">
        <f aca="false">IF(C92="","",IF(C92="Not Applicable","N/A",IF(C92="Yes",2,IF(OR(C92="Partial",C92="Compensating Control"),1,0))))</f>
        <v>2</v>
      </c>
      <c r="E92" s="25" t="s">
        <v>326</v>
      </c>
      <c r="F92" s="25"/>
    </row>
    <row r="93" customFormat="false" ht="30" hidden="false" customHeight="true" outlineLevel="0" collapsed="false">
      <c r="A93" s="18" t="s">
        <v>327</v>
      </c>
      <c r="B93" s="7" t="s">
        <v>328</v>
      </c>
      <c r="C93" s="24" t="s">
        <v>151</v>
      </c>
      <c r="D93" s="11" t="n">
        <f aca="false">IF(C93="","",IF(C93="Not Applicable","N/A",IF(C93="Yes",2,IF(OR(C93="Partial",C93="Compensating Control"),1,0))))</f>
        <v>2</v>
      </c>
      <c r="E93" s="25" t="s">
        <v>329</v>
      </c>
      <c r="F93" s="25"/>
    </row>
    <row r="94" customFormat="false" ht="30" hidden="false" customHeight="true" outlineLevel="0" collapsed="false">
      <c r="A94" s="18" t="s">
        <v>330</v>
      </c>
      <c r="B94" s="7" t="s">
        <v>331</v>
      </c>
      <c r="C94" s="24" t="s">
        <v>151</v>
      </c>
      <c r="D94" s="11" t="n">
        <f aca="false">IF(C94="","",IF(C94="Not Applicable","N/A",IF(C94="Yes",2,IF(OR(C94="Partial",C94="Compensating Control"),1,0))))</f>
        <v>2</v>
      </c>
      <c r="E94" s="25" t="s">
        <v>332</v>
      </c>
      <c r="F94" s="25"/>
    </row>
    <row r="95" customFormat="false" ht="19.5" hidden="false" customHeight="true" outlineLevel="0" collapsed="false">
      <c r="A95" s="26" t="s">
        <v>333</v>
      </c>
      <c r="B95" s="26"/>
      <c r="C95" s="26"/>
      <c r="D95" s="27" t="n">
        <f aca="false">IFERROR(SUM(D89:D94)/(2*COUNT(D89:D94)),"")</f>
        <v>1</v>
      </c>
      <c r="E95" s="28"/>
      <c r="F95" s="28"/>
    </row>
    <row r="97" customFormat="false" ht="19.5" hidden="false" customHeight="true" outlineLevel="0" collapsed="false">
      <c r="A97" s="21" t="s">
        <v>334</v>
      </c>
      <c r="B97" s="21"/>
      <c r="C97" s="21"/>
      <c r="D97" s="21"/>
      <c r="E97" s="21"/>
      <c r="F97" s="21"/>
    </row>
    <row r="98" customFormat="false" ht="30" hidden="false" customHeight="true" outlineLevel="0" collapsed="false">
      <c r="A98" s="18" t="s">
        <v>335</v>
      </c>
      <c r="B98" s="7" t="s">
        <v>336</v>
      </c>
      <c r="C98" s="24" t="s">
        <v>151</v>
      </c>
      <c r="D98" s="11" t="n">
        <f aca="false">IF(C98="","",IF(C98="Not Applicable","N/A",IF(C98="Yes",2,IF(OR(C98="Partial",C98="Compensating Control"),1,0))))</f>
        <v>2</v>
      </c>
      <c r="E98" s="25" t="s">
        <v>337</v>
      </c>
      <c r="F98" s="25"/>
    </row>
    <row r="99" customFormat="false" ht="30" hidden="false" customHeight="true" outlineLevel="0" collapsed="false">
      <c r="A99" s="18" t="s">
        <v>338</v>
      </c>
      <c r="B99" s="7" t="s">
        <v>339</v>
      </c>
      <c r="C99" s="24" t="s">
        <v>151</v>
      </c>
      <c r="D99" s="11" t="n">
        <f aca="false">IF(C99="","",IF(C99="Not Applicable","N/A",IF(C99="Yes",2,IF(OR(C99="Partial",C99="Compensating Control"),1,0))))</f>
        <v>2</v>
      </c>
      <c r="E99" s="25" t="s">
        <v>340</v>
      </c>
      <c r="F99" s="25"/>
    </row>
    <row r="100" customFormat="false" ht="30" hidden="false" customHeight="true" outlineLevel="0" collapsed="false">
      <c r="A100" s="18" t="s">
        <v>341</v>
      </c>
      <c r="B100" s="7" t="s">
        <v>342</v>
      </c>
      <c r="C100" s="24" t="s">
        <v>151</v>
      </c>
      <c r="D100" s="11" t="n">
        <f aca="false">IF(C100="","",IF(C100="Not Applicable","N/A",IF(C100="Yes",2,IF(OR(C100="Partial",C100="Compensating Control"),1,0))))</f>
        <v>2</v>
      </c>
      <c r="E100" s="25" t="s">
        <v>343</v>
      </c>
      <c r="F100" s="25"/>
    </row>
    <row r="101" customFormat="false" ht="30" hidden="false" customHeight="true" outlineLevel="0" collapsed="false">
      <c r="A101" s="18" t="s">
        <v>344</v>
      </c>
      <c r="B101" s="7" t="s">
        <v>345</v>
      </c>
      <c r="C101" s="24" t="s">
        <v>151</v>
      </c>
      <c r="D101" s="11" t="n">
        <f aca="false">IF(C101="","",IF(C101="Not Applicable","N/A",IF(C101="Yes",2,IF(OR(C101="Partial",C101="Compensating Control"),1,0))))</f>
        <v>2</v>
      </c>
      <c r="E101" s="25" t="s">
        <v>346</v>
      </c>
      <c r="F101" s="25"/>
    </row>
    <row r="102" customFormat="false" ht="30" hidden="false" customHeight="true" outlineLevel="0" collapsed="false">
      <c r="A102" s="18" t="s">
        <v>347</v>
      </c>
      <c r="B102" s="7" t="s">
        <v>348</v>
      </c>
      <c r="C102" s="24" t="s">
        <v>349</v>
      </c>
      <c r="D102" s="11" t="n">
        <f aca="false">IF(C102="","",IF(C102="Not Applicable","N/A",IF(C102="Yes",2,IF(OR(C102="Partial",C102="Compensating Control"),1,0))))</f>
        <v>0</v>
      </c>
      <c r="E102" s="25" t="s">
        <v>350</v>
      </c>
      <c r="F102" s="25" t="s">
        <v>351</v>
      </c>
    </row>
    <row r="103" customFormat="false" ht="30" hidden="false" customHeight="true" outlineLevel="0" collapsed="false">
      <c r="A103" s="18" t="s">
        <v>352</v>
      </c>
      <c r="B103" s="7" t="s">
        <v>353</v>
      </c>
      <c r="C103" s="24" t="s">
        <v>151</v>
      </c>
      <c r="D103" s="11" t="n">
        <f aca="false">IF(C103="","",IF(C103="Not Applicable","N/A",IF(C103="Yes",2,IF(OR(C103="Partial",C103="Compensating Control"),1,0))))</f>
        <v>2</v>
      </c>
      <c r="E103" s="25" t="s">
        <v>354</v>
      </c>
      <c r="F103" s="25"/>
    </row>
    <row r="104" customFormat="false" ht="19.5" hidden="false" customHeight="true" outlineLevel="0" collapsed="false">
      <c r="A104" s="26" t="s">
        <v>355</v>
      </c>
      <c r="B104" s="26"/>
      <c r="C104" s="26"/>
      <c r="D104" s="27" t="n">
        <f aca="false">IFERROR(SUM(D98:D103)/(2*COUNT(D98:D103)),"")</f>
        <v>0.833333333333333</v>
      </c>
      <c r="E104" s="28"/>
      <c r="F104" s="28"/>
    </row>
    <row r="106" customFormat="false" ht="19.5" hidden="false" customHeight="true" outlineLevel="0" collapsed="false">
      <c r="A106" s="21" t="s">
        <v>356</v>
      </c>
      <c r="B106" s="21"/>
      <c r="C106" s="21"/>
      <c r="D106" s="21"/>
      <c r="E106" s="21"/>
      <c r="F106" s="21"/>
    </row>
    <row r="107" customFormat="false" ht="30" hidden="false" customHeight="true" outlineLevel="0" collapsed="false">
      <c r="A107" s="18" t="s">
        <v>357</v>
      </c>
      <c r="B107" s="7" t="s">
        <v>358</v>
      </c>
      <c r="C107" s="24" t="s">
        <v>151</v>
      </c>
      <c r="D107" s="11" t="n">
        <f aca="false">IF(C107="","",IF(C107="Not Applicable","N/A",IF(C107="Yes",2,IF(OR(C107="Partial",C107="Compensating Control"),1,0))))</f>
        <v>2</v>
      </c>
      <c r="E107" s="25" t="s">
        <v>359</v>
      </c>
      <c r="F107" s="25"/>
    </row>
    <row r="108" customFormat="false" ht="30" hidden="false" customHeight="true" outlineLevel="0" collapsed="false">
      <c r="A108" s="18" t="s">
        <v>360</v>
      </c>
      <c r="B108" s="7" t="s">
        <v>361</v>
      </c>
      <c r="C108" s="24" t="s">
        <v>151</v>
      </c>
      <c r="D108" s="11" t="n">
        <f aca="false">IF(C108="","",IF(C108="Not Applicable","N/A",IF(C108="Yes",2,IF(OR(C108="Partial",C108="Compensating Control"),1,0))))</f>
        <v>2</v>
      </c>
      <c r="E108" s="25" t="s">
        <v>362</v>
      </c>
      <c r="F108" s="25"/>
    </row>
    <row r="109" customFormat="false" ht="30" hidden="false" customHeight="true" outlineLevel="0" collapsed="false">
      <c r="A109" s="18" t="s">
        <v>363</v>
      </c>
      <c r="B109" s="7" t="s">
        <v>364</v>
      </c>
      <c r="C109" s="24" t="s">
        <v>172</v>
      </c>
      <c r="D109" s="11" t="n">
        <f aca="false">IF(C109="","",IF(C109="Not Applicable","N/A",IF(C109="Yes",2,IF(OR(C109="Partial",C109="Compensating Control"),1,0))))</f>
        <v>1</v>
      </c>
      <c r="E109" s="25" t="s">
        <v>365</v>
      </c>
      <c r="F109" s="25" t="s">
        <v>366</v>
      </c>
    </row>
    <row r="110" customFormat="false" ht="30" hidden="false" customHeight="true" outlineLevel="0" collapsed="false">
      <c r="A110" s="18" t="s">
        <v>367</v>
      </c>
      <c r="B110" s="7" t="s">
        <v>368</v>
      </c>
      <c r="C110" s="24" t="s">
        <v>151</v>
      </c>
      <c r="D110" s="11" t="n">
        <f aca="false">IF(C110="","",IF(C110="Not Applicable","N/A",IF(C110="Yes",2,IF(OR(C110="Partial",C110="Compensating Control"),1,0))))</f>
        <v>2</v>
      </c>
      <c r="E110" s="25" t="s">
        <v>369</v>
      </c>
      <c r="F110" s="25"/>
    </row>
    <row r="111" customFormat="false" ht="30" hidden="false" customHeight="true" outlineLevel="0" collapsed="false">
      <c r="A111" s="18" t="s">
        <v>370</v>
      </c>
      <c r="B111" s="7" t="s">
        <v>371</v>
      </c>
      <c r="C111" s="24" t="s">
        <v>151</v>
      </c>
      <c r="D111" s="11" t="n">
        <f aca="false">IF(C111="","",IF(C111="Not Applicable","N/A",IF(C111="Yes",2,IF(OR(C111="Partial",C111="Compensating Control"),1,0))))</f>
        <v>2</v>
      </c>
      <c r="E111" s="25" t="s">
        <v>372</v>
      </c>
      <c r="F111" s="25"/>
    </row>
    <row r="112" customFormat="false" ht="30" hidden="false" customHeight="true" outlineLevel="0" collapsed="false">
      <c r="A112" s="18" t="s">
        <v>373</v>
      </c>
      <c r="B112" s="7" t="s">
        <v>374</v>
      </c>
      <c r="C112" s="24" t="s">
        <v>349</v>
      </c>
      <c r="D112" s="11" t="n">
        <f aca="false">IF(C112="","",IF(C112="Not Applicable","N/A",IF(C112="Yes",2,IF(OR(C112="Partial",C112="Compensating Control"),1,0))))</f>
        <v>0</v>
      </c>
      <c r="E112" s="25" t="s">
        <v>375</v>
      </c>
      <c r="F112" s="25" t="s">
        <v>376</v>
      </c>
    </row>
    <row r="113" customFormat="false" ht="30" hidden="false" customHeight="true" outlineLevel="0" collapsed="false">
      <c r="A113" s="18" t="s">
        <v>377</v>
      </c>
      <c r="B113" s="7" t="s">
        <v>378</v>
      </c>
      <c r="C113" s="24" t="s">
        <v>151</v>
      </c>
      <c r="D113" s="11" t="n">
        <f aca="false">IF(C113="","",IF(C113="Not Applicable","N/A",IF(C113="Yes",2,IF(OR(C113="Partial",C113="Compensating Control"),1,0))))</f>
        <v>2</v>
      </c>
      <c r="E113" s="25" t="s">
        <v>379</v>
      </c>
      <c r="F113" s="25"/>
    </row>
    <row r="114" customFormat="false" ht="19.5" hidden="false" customHeight="true" outlineLevel="0" collapsed="false">
      <c r="A114" s="26" t="s">
        <v>380</v>
      </c>
      <c r="B114" s="26"/>
      <c r="C114" s="26"/>
      <c r="D114" s="27" t="n">
        <f aca="false">IFERROR(SUM(D107:D113)/(2*COUNT(D107:D113)),"")</f>
        <v>0.785714285714286</v>
      </c>
      <c r="E114" s="28"/>
      <c r="F114" s="28"/>
    </row>
    <row r="116" customFormat="false" ht="19.5" hidden="false" customHeight="true" outlineLevel="0" collapsed="false">
      <c r="A116" s="21" t="s">
        <v>381</v>
      </c>
      <c r="B116" s="21"/>
      <c r="C116" s="21"/>
      <c r="D116" s="21"/>
      <c r="E116" s="21"/>
      <c r="F116" s="21"/>
    </row>
    <row r="117" customFormat="false" ht="30" hidden="false" customHeight="true" outlineLevel="0" collapsed="false">
      <c r="A117" s="18" t="s">
        <v>382</v>
      </c>
      <c r="B117" s="7" t="s">
        <v>383</v>
      </c>
      <c r="C117" s="24" t="s">
        <v>151</v>
      </c>
      <c r="D117" s="11" t="n">
        <f aca="false">IF(C117="","",IF(C117="Not Applicable","N/A",IF(C117="Yes",2,IF(OR(C117="Partial",C117="Compensating Control"),1,0))))</f>
        <v>2</v>
      </c>
      <c r="E117" s="25" t="s">
        <v>384</v>
      </c>
      <c r="F117" s="25"/>
    </row>
    <row r="118" customFormat="false" ht="30" hidden="false" customHeight="true" outlineLevel="0" collapsed="false">
      <c r="A118" s="18" t="s">
        <v>385</v>
      </c>
      <c r="B118" s="7" t="s">
        <v>386</v>
      </c>
      <c r="C118" s="24" t="s">
        <v>151</v>
      </c>
      <c r="D118" s="11" t="n">
        <f aca="false">IF(C118="","",IF(C118="Not Applicable","N/A",IF(C118="Yes",2,IF(OR(C118="Partial",C118="Compensating Control"),1,0))))</f>
        <v>2</v>
      </c>
      <c r="E118" s="25" t="s">
        <v>387</v>
      </c>
      <c r="F118" s="25"/>
    </row>
    <row r="119" customFormat="false" ht="30" hidden="false" customHeight="true" outlineLevel="0" collapsed="false">
      <c r="A119" s="18" t="s">
        <v>388</v>
      </c>
      <c r="B119" s="7" t="s">
        <v>389</v>
      </c>
      <c r="C119" s="24" t="s">
        <v>151</v>
      </c>
      <c r="D119" s="11" t="n">
        <f aca="false">IF(C119="","",IF(C119="Not Applicable","N/A",IF(C119="Yes",2,IF(OR(C119="Partial",C119="Compensating Control"),1,0))))</f>
        <v>2</v>
      </c>
      <c r="E119" s="25" t="s">
        <v>390</v>
      </c>
      <c r="F119" s="25"/>
    </row>
    <row r="120" customFormat="false" ht="30" hidden="false" customHeight="true" outlineLevel="0" collapsed="false">
      <c r="A120" s="18" t="s">
        <v>391</v>
      </c>
      <c r="B120" s="7" t="s">
        <v>392</v>
      </c>
      <c r="C120" s="24" t="s">
        <v>172</v>
      </c>
      <c r="D120" s="11" t="n">
        <f aca="false">IF(C120="","",IF(C120="Not Applicable","N/A",IF(C120="Yes",2,IF(OR(C120="Partial",C120="Compensating Control"),1,0))))</f>
        <v>1</v>
      </c>
      <c r="E120" s="25" t="s">
        <v>393</v>
      </c>
      <c r="F120" s="25" t="s">
        <v>394</v>
      </c>
    </row>
    <row r="121" customFormat="false" ht="30" hidden="false" customHeight="true" outlineLevel="0" collapsed="false">
      <c r="A121" s="18" t="s">
        <v>395</v>
      </c>
      <c r="B121" s="7" t="s">
        <v>396</v>
      </c>
      <c r="C121" s="24" t="s">
        <v>151</v>
      </c>
      <c r="D121" s="11" t="n">
        <f aca="false">IF(C121="","",IF(C121="Not Applicable","N/A",IF(C121="Yes",2,IF(OR(C121="Partial",C121="Compensating Control"),1,0))))</f>
        <v>2</v>
      </c>
      <c r="E121" s="25" t="s">
        <v>397</v>
      </c>
      <c r="F121" s="25"/>
    </row>
    <row r="122" customFormat="false" ht="19.5" hidden="false" customHeight="true" outlineLevel="0" collapsed="false">
      <c r="A122" s="26" t="s">
        <v>398</v>
      </c>
      <c r="B122" s="26"/>
      <c r="C122" s="26"/>
      <c r="D122" s="27" t="n">
        <f aca="false">IFERROR(SUM(D117:D121)/(2*COUNT(D117:D121)),"")</f>
        <v>0.9</v>
      </c>
      <c r="E122" s="28"/>
      <c r="F122" s="28"/>
    </row>
    <row r="124" customFormat="false" ht="19.5" hidden="false" customHeight="true" outlineLevel="0" collapsed="false">
      <c r="A124" s="21" t="s">
        <v>399</v>
      </c>
      <c r="B124" s="21"/>
      <c r="C124" s="21"/>
      <c r="D124" s="21"/>
      <c r="E124" s="21"/>
      <c r="F124" s="21"/>
    </row>
    <row r="125" customFormat="false" ht="30" hidden="false" customHeight="true" outlineLevel="0" collapsed="false">
      <c r="A125" s="18" t="s">
        <v>400</v>
      </c>
      <c r="B125" s="7" t="s">
        <v>401</v>
      </c>
      <c r="C125" s="24" t="s">
        <v>172</v>
      </c>
      <c r="D125" s="11" t="n">
        <f aca="false">IF(C125="","",IF(C125="Not Applicable","N/A",IF(C125="Yes",2,IF(OR(C125="Partial",C125="Compensating Control"),1,0))))</f>
        <v>1</v>
      </c>
      <c r="E125" s="25" t="s">
        <v>402</v>
      </c>
      <c r="F125" s="25" t="s">
        <v>403</v>
      </c>
    </row>
    <row r="126" customFormat="false" ht="30" hidden="false" customHeight="true" outlineLevel="0" collapsed="false">
      <c r="A126" s="18" t="s">
        <v>404</v>
      </c>
      <c r="B126" s="7" t="s">
        <v>405</v>
      </c>
      <c r="C126" s="24" t="s">
        <v>151</v>
      </c>
      <c r="D126" s="11" t="n">
        <f aca="false">IF(C126="","",IF(C126="Not Applicable","N/A",IF(C126="Yes",2,IF(OR(C126="Partial",C126="Compensating Control"),1,0))))</f>
        <v>2</v>
      </c>
      <c r="E126" s="25" t="s">
        <v>406</v>
      </c>
      <c r="F126" s="25"/>
    </row>
    <row r="127" customFormat="false" ht="30" hidden="false" customHeight="true" outlineLevel="0" collapsed="false">
      <c r="A127" s="18" t="s">
        <v>407</v>
      </c>
      <c r="B127" s="7" t="s">
        <v>408</v>
      </c>
      <c r="C127" s="24" t="s">
        <v>151</v>
      </c>
      <c r="D127" s="11" t="n">
        <f aca="false">IF(C127="","",IF(C127="Not Applicable","N/A",IF(C127="Yes",2,IF(OR(C127="Partial",C127="Compensating Control"),1,0))))</f>
        <v>2</v>
      </c>
      <c r="E127" s="25" t="s">
        <v>409</v>
      </c>
      <c r="F127" s="25"/>
    </row>
    <row r="128" customFormat="false" ht="30" hidden="false" customHeight="true" outlineLevel="0" collapsed="false">
      <c r="A128" s="18" t="s">
        <v>410</v>
      </c>
      <c r="B128" s="7" t="s">
        <v>411</v>
      </c>
      <c r="C128" s="24" t="s">
        <v>151</v>
      </c>
      <c r="D128" s="11" t="n">
        <f aca="false">IF(C128="","",IF(C128="Not Applicable","N/A",IF(C128="Yes",2,IF(OR(C128="Partial",C128="Compensating Control"),1,0))))</f>
        <v>2</v>
      </c>
      <c r="E128" s="25" t="s">
        <v>412</v>
      </c>
      <c r="F128" s="25"/>
    </row>
    <row r="129" customFormat="false" ht="30" hidden="false" customHeight="true" outlineLevel="0" collapsed="false">
      <c r="A129" s="18" t="s">
        <v>413</v>
      </c>
      <c r="B129" s="7" t="s">
        <v>414</v>
      </c>
      <c r="C129" s="24" t="s">
        <v>151</v>
      </c>
      <c r="D129" s="11" t="n">
        <f aca="false">IF(C129="","",IF(C129="Not Applicable","N/A",IF(C129="Yes",2,IF(OR(C129="Partial",C129="Compensating Control"),1,0))))</f>
        <v>2</v>
      </c>
      <c r="E129" s="25" t="s">
        <v>415</v>
      </c>
      <c r="F129" s="25"/>
    </row>
    <row r="130" customFormat="false" ht="19.5" hidden="false" customHeight="true" outlineLevel="0" collapsed="false">
      <c r="A130" s="26" t="s">
        <v>416</v>
      </c>
      <c r="B130" s="26"/>
      <c r="C130" s="26"/>
      <c r="D130" s="27" t="n">
        <f aca="false">IFERROR(SUM(D125:D129)/(2*COUNT(D125:D129)),"")</f>
        <v>0.9</v>
      </c>
      <c r="E130" s="28"/>
      <c r="F130" s="28"/>
    </row>
  </sheetData>
  <mergeCells count="39">
    <mergeCell ref="A1:F1"/>
    <mergeCell ref="A3:F3"/>
    <mergeCell ref="B4:F4"/>
    <mergeCell ref="B5:F5"/>
    <mergeCell ref="B6:F6"/>
    <mergeCell ref="B7:F7"/>
    <mergeCell ref="B8:F8"/>
    <mergeCell ref="B9:F9"/>
    <mergeCell ref="B10:F10"/>
    <mergeCell ref="B11:F11"/>
    <mergeCell ref="B12:F12"/>
    <mergeCell ref="B13:F13"/>
    <mergeCell ref="B14:F14"/>
    <mergeCell ref="B15:F15"/>
    <mergeCell ref="B16:F16"/>
    <mergeCell ref="A20:F20"/>
    <mergeCell ref="A26:C26"/>
    <mergeCell ref="A28:F28"/>
    <mergeCell ref="A37:C37"/>
    <mergeCell ref="A39:F39"/>
    <mergeCell ref="A46:C46"/>
    <mergeCell ref="A48:F48"/>
    <mergeCell ref="A56:C56"/>
    <mergeCell ref="A58:F58"/>
    <mergeCell ref="A66:C66"/>
    <mergeCell ref="A68:F68"/>
    <mergeCell ref="A76:C76"/>
    <mergeCell ref="A78:F78"/>
    <mergeCell ref="A86:C86"/>
    <mergeCell ref="A88:F88"/>
    <mergeCell ref="A95:C95"/>
    <mergeCell ref="A97:F97"/>
    <mergeCell ref="A104:C104"/>
    <mergeCell ref="A106:F106"/>
    <mergeCell ref="A114:C114"/>
    <mergeCell ref="A116:F116"/>
    <mergeCell ref="A122:C122"/>
    <mergeCell ref="A124:F124"/>
    <mergeCell ref="A130:C130"/>
  </mergeCells>
  <dataValidations count="1">
    <dataValidation allowBlank="true" errorStyle="stop" operator="between" showDropDown="false" showErrorMessage="false" showInputMessage="false" sqref="C21:C25 C29:C36 C40:C45 C49:C55 C59:C65 C69:C75 C79:C85 C89:C94 C98:C103 C107:C113 C117:C121 C125:C129" type="list">
      <formula1>"Yes,Partial,Compensating Control,No,Not Applicable"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5"/>
    <col collapsed="false" customWidth="true" hidden="false" outlineLevel="0" max="2" min="2" style="1" width="10"/>
    <col collapsed="false" customWidth="true" hidden="false" outlineLevel="0" max="3" min="3" style="1" width="14"/>
    <col collapsed="false" customWidth="true" hidden="false" outlineLevel="0" max="4" min="4" style="1" width="20"/>
  </cols>
  <sheetData>
    <row r="1" customFormat="false" ht="24" hidden="false" customHeight="true" outlineLevel="0" collapsed="false">
      <c r="A1" s="17" t="s">
        <v>417</v>
      </c>
      <c r="B1" s="17"/>
      <c r="C1" s="17"/>
      <c r="D1" s="17"/>
    </row>
    <row r="2" customFormat="false" ht="15" hidden="false" customHeight="true" outlineLevel="0" collapsed="false">
      <c r="A2" s="4" t="s">
        <v>418</v>
      </c>
      <c r="B2" s="4"/>
      <c r="C2" s="4"/>
      <c r="D2" s="4"/>
    </row>
    <row r="4" customFormat="false" ht="24" hidden="false" customHeight="true" outlineLevel="0" collapsed="false">
      <c r="A4" s="10" t="s">
        <v>419</v>
      </c>
      <c r="B4" s="10" t="s">
        <v>420</v>
      </c>
      <c r="C4" s="10" t="s">
        <v>421</v>
      </c>
      <c r="D4" s="10" t="s">
        <v>422</v>
      </c>
    </row>
    <row r="5" customFormat="false" ht="19.5" hidden="false" customHeight="true" outlineLevel="0" collapsed="false">
      <c r="A5" s="7" t="s">
        <v>423</v>
      </c>
      <c r="B5" s="29" t="n">
        <v>0.05</v>
      </c>
      <c r="C5" s="30" t="n">
        <f aca="false">Questionnaire!D26</f>
        <v>1</v>
      </c>
      <c r="D5" s="30" t="n">
        <f aca="false">IFERROR(C5*B5,0)</f>
        <v>0.05</v>
      </c>
    </row>
    <row r="6" customFormat="false" ht="19.5" hidden="false" customHeight="true" outlineLevel="0" collapsed="false">
      <c r="A6" s="7" t="s">
        <v>424</v>
      </c>
      <c r="B6" s="29" t="n">
        <v>0.15</v>
      </c>
      <c r="C6" s="30" t="n">
        <f aca="false">Questionnaire!D37</f>
        <v>0.875</v>
      </c>
      <c r="D6" s="30" t="n">
        <f aca="false">IFERROR(C6*B6,0)</f>
        <v>0.13125</v>
      </c>
    </row>
    <row r="7" customFormat="false" ht="19.5" hidden="false" customHeight="true" outlineLevel="0" collapsed="false">
      <c r="A7" s="7" t="s">
        <v>425</v>
      </c>
      <c r="B7" s="29" t="n">
        <v>0.05</v>
      </c>
      <c r="C7" s="30" t="n">
        <f aca="false">Questionnaire!D46</f>
        <v>1</v>
      </c>
      <c r="D7" s="30" t="n">
        <f aca="false">IFERROR(C7*B7,0)</f>
        <v>0.05</v>
      </c>
    </row>
    <row r="8" customFormat="false" ht="19.5" hidden="false" customHeight="true" outlineLevel="0" collapsed="false">
      <c r="A8" s="7" t="s">
        <v>426</v>
      </c>
      <c r="B8" s="29" t="n">
        <v>0.1</v>
      </c>
      <c r="C8" s="30" t="n">
        <f aca="false">Questionnaire!D56</f>
        <v>0.857142857142857</v>
      </c>
      <c r="D8" s="30" t="n">
        <f aca="false">IFERROR(C8*B8,0)</f>
        <v>0.0857142857142857</v>
      </c>
    </row>
    <row r="9" customFormat="false" ht="19.5" hidden="false" customHeight="true" outlineLevel="0" collapsed="false">
      <c r="A9" s="7" t="s">
        <v>427</v>
      </c>
      <c r="B9" s="29" t="n">
        <v>0.12</v>
      </c>
      <c r="C9" s="30" t="n">
        <f aca="false">Questionnaire!D66</f>
        <v>0.833333333333333</v>
      </c>
      <c r="D9" s="30" t="n">
        <f aca="false">IFERROR(C9*B9,0)</f>
        <v>0.1</v>
      </c>
    </row>
    <row r="10" customFormat="false" ht="19.5" hidden="false" customHeight="true" outlineLevel="0" collapsed="false">
      <c r="A10" s="7" t="s">
        <v>428</v>
      </c>
      <c r="B10" s="29" t="n">
        <v>0.1</v>
      </c>
      <c r="C10" s="30" t="n">
        <f aca="false">Questionnaire!D76</f>
        <v>0.928571428571429</v>
      </c>
      <c r="D10" s="30" t="n">
        <f aca="false">IFERROR(C10*B10,0)</f>
        <v>0.0928571428571429</v>
      </c>
    </row>
    <row r="11" customFormat="false" ht="19.5" hidden="false" customHeight="true" outlineLevel="0" collapsed="false">
      <c r="A11" s="7" t="s">
        <v>429</v>
      </c>
      <c r="B11" s="29" t="n">
        <v>0.08</v>
      </c>
      <c r="C11" s="30" t="n">
        <f aca="false">Questionnaire!D86</f>
        <v>1</v>
      </c>
      <c r="D11" s="30" t="n">
        <f aca="false">IFERROR(C11*B11,0)</f>
        <v>0.08</v>
      </c>
    </row>
    <row r="12" customFormat="false" ht="19.5" hidden="false" customHeight="true" outlineLevel="0" collapsed="false">
      <c r="A12" s="7" t="s">
        <v>430</v>
      </c>
      <c r="B12" s="29" t="n">
        <v>0.06</v>
      </c>
      <c r="C12" s="30" t="n">
        <f aca="false">Questionnaire!D95</f>
        <v>1</v>
      </c>
      <c r="D12" s="30" t="n">
        <f aca="false">IFERROR(C12*B12,0)</f>
        <v>0.06</v>
      </c>
    </row>
    <row r="13" customFormat="false" ht="19.5" hidden="false" customHeight="true" outlineLevel="0" collapsed="false">
      <c r="A13" s="7" t="s">
        <v>431</v>
      </c>
      <c r="B13" s="29" t="n">
        <v>0.07</v>
      </c>
      <c r="C13" s="30" t="n">
        <f aca="false">Questionnaire!D104</f>
        <v>0.833333333333333</v>
      </c>
      <c r="D13" s="30" t="n">
        <f aca="false">IFERROR(C13*B13,0)</f>
        <v>0.0583333333333333</v>
      </c>
    </row>
    <row r="14" customFormat="false" ht="19.5" hidden="false" customHeight="true" outlineLevel="0" collapsed="false">
      <c r="A14" s="7" t="s">
        <v>432</v>
      </c>
      <c r="B14" s="29" t="n">
        <v>0.12</v>
      </c>
      <c r="C14" s="30" t="n">
        <f aca="false">Questionnaire!D114</f>
        <v>0.785714285714286</v>
      </c>
      <c r="D14" s="30" t="n">
        <f aca="false">IFERROR(C14*B14,0)</f>
        <v>0.0942857142857143</v>
      </c>
    </row>
    <row r="15" customFormat="false" ht="19.5" hidden="false" customHeight="true" outlineLevel="0" collapsed="false">
      <c r="A15" s="7" t="s">
        <v>433</v>
      </c>
      <c r="B15" s="29" t="n">
        <v>0.06</v>
      </c>
      <c r="C15" s="30" t="n">
        <f aca="false">Questionnaire!D122</f>
        <v>0.9</v>
      </c>
      <c r="D15" s="30" t="n">
        <f aca="false">IFERROR(C15*B15,0)</f>
        <v>0.054</v>
      </c>
    </row>
    <row r="16" customFormat="false" ht="19.5" hidden="false" customHeight="true" outlineLevel="0" collapsed="false">
      <c r="A16" s="7" t="s">
        <v>434</v>
      </c>
      <c r="B16" s="29" t="n">
        <v>0.04</v>
      </c>
      <c r="C16" s="30" t="n">
        <f aca="false">Questionnaire!D130</f>
        <v>0.9</v>
      </c>
      <c r="D16" s="30" t="n">
        <f aca="false">IFERROR(C16*B16,0)</f>
        <v>0.036</v>
      </c>
    </row>
    <row r="17" customFormat="false" ht="21.75" hidden="false" customHeight="true" outlineLevel="0" collapsed="false">
      <c r="A17" s="6" t="s">
        <v>435</v>
      </c>
      <c r="B17" s="31" t="n">
        <f aca="false">SUM(B5:B16)</f>
        <v>1</v>
      </c>
      <c r="C17" s="28"/>
      <c r="D17" s="32" t="n">
        <f aca="false">SUM(D5:D16)</f>
        <v>0.892440476190476</v>
      </c>
    </row>
    <row r="19" customFormat="false" ht="15" hidden="false" customHeight="true" outlineLevel="0" collapsed="false">
      <c r="A19" s="16" t="str">
        <f aca="false">CONCATENATE("Questions answered: ",COUNTA(Questionnaire!C19:C130)," of 76")</f>
        <v>Questions answered: 76 of 76</v>
      </c>
      <c r="B19" s="16"/>
      <c r="C19" s="16"/>
      <c r="D19" s="16"/>
    </row>
    <row r="21" customFormat="false" ht="25.5" hidden="false" customHeight="true" outlineLevel="0" collapsed="false">
      <c r="A21" s="33" t="s">
        <v>436</v>
      </c>
      <c r="B21" s="33"/>
      <c r="C21" s="34" t="str">
        <f aca="false">IF(COUNTA(Questionnaire!C19:C130)&lt;76,"Incomplete",IF(D17&gt;=0.85,"Low Risk",IF(D17&gt;=0.7,"Medium Risk",IF(D17&gt;=0.5,"High Risk","Critical Risk"))))</f>
        <v>Low Risk</v>
      </c>
      <c r="D21" s="34"/>
    </row>
    <row r="46" customFormat="false" ht="25.5" hidden="false" customHeight="true" outlineLevel="0" collapsed="false">
      <c r="A46" s="16" t="s">
        <v>437</v>
      </c>
      <c r="B46" s="16"/>
      <c r="C46" s="16"/>
      <c r="D46" s="16"/>
    </row>
  </sheetData>
  <mergeCells count="6">
    <mergeCell ref="A1:D1"/>
    <mergeCell ref="A2:D2"/>
    <mergeCell ref="A19:D19"/>
    <mergeCell ref="A21:B21"/>
    <mergeCell ref="C21:D21"/>
    <mergeCell ref="A46:D4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2" min="2" style="1" width="12"/>
    <col collapsed="false" customWidth="true" hidden="false" outlineLevel="0" max="3" min="3" style="1" width="60"/>
    <col collapsed="false" customWidth="true" hidden="false" outlineLevel="0" max="5" min="4" style="1" width="4"/>
  </cols>
  <sheetData>
    <row r="1" customFormat="false" ht="24" hidden="false" customHeight="true" outlineLevel="0" collapsed="false">
      <c r="A1" s="35" t="s">
        <v>438</v>
      </c>
      <c r="B1" s="35"/>
      <c r="C1" s="35"/>
    </row>
    <row r="3" customFormat="false" ht="15" hidden="false" customHeight="true" outlineLevel="0" collapsed="false">
      <c r="A3" s="10" t="s">
        <v>419</v>
      </c>
      <c r="B3" s="10" t="s">
        <v>420</v>
      </c>
    </row>
    <row r="4" customFormat="false" ht="15" hidden="false" customHeight="true" outlineLevel="0" collapsed="false">
      <c r="A4" s="7" t="s">
        <v>423</v>
      </c>
      <c r="B4" s="29" t="n">
        <v>0.05</v>
      </c>
    </row>
    <row r="5" customFormat="false" ht="15" hidden="false" customHeight="true" outlineLevel="0" collapsed="false">
      <c r="A5" s="7" t="s">
        <v>424</v>
      </c>
      <c r="B5" s="29" t="n">
        <v>0.15</v>
      </c>
    </row>
    <row r="6" customFormat="false" ht="15" hidden="false" customHeight="true" outlineLevel="0" collapsed="false">
      <c r="A6" s="7" t="s">
        <v>425</v>
      </c>
      <c r="B6" s="29" t="n">
        <v>0.05</v>
      </c>
    </row>
    <row r="7" customFormat="false" ht="15" hidden="false" customHeight="true" outlineLevel="0" collapsed="false">
      <c r="A7" s="7" t="s">
        <v>426</v>
      </c>
      <c r="B7" s="29" t="n">
        <v>0.1</v>
      </c>
    </row>
    <row r="8" customFormat="false" ht="15" hidden="false" customHeight="true" outlineLevel="0" collapsed="false">
      <c r="A8" s="7" t="s">
        <v>427</v>
      </c>
      <c r="B8" s="29" t="n">
        <v>0.12</v>
      </c>
    </row>
    <row r="9" customFormat="false" ht="15" hidden="false" customHeight="true" outlineLevel="0" collapsed="false">
      <c r="A9" s="7" t="s">
        <v>428</v>
      </c>
      <c r="B9" s="29" t="n">
        <v>0.1</v>
      </c>
    </row>
    <row r="10" customFormat="false" ht="15" hidden="false" customHeight="true" outlineLevel="0" collapsed="false">
      <c r="A10" s="7" t="s">
        <v>429</v>
      </c>
      <c r="B10" s="29" t="n">
        <v>0.08</v>
      </c>
    </row>
    <row r="11" customFormat="false" ht="15" hidden="false" customHeight="true" outlineLevel="0" collapsed="false">
      <c r="A11" s="7" t="s">
        <v>430</v>
      </c>
      <c r="B11" s="29" t="n">
        <v>0.06</v>
      </c>
    </row>
    <row r="12" customFormat="false" ht="15" hidden="false" customHeight="true" outlineLevel="0" collapsed="false">
      <c r="A12" s="7" t="s">
        <v>431</v>
      </c>
      <c r="B12" s="29" t="n">
        <v>0.07</v>
      </c>
    </row>
    <row r="13" customFormat="false" ht="15" hidden="false" customHeight="true" outlineLevel="0" collapsed="false">
      <c r="A13" s="7" t="s">
        <v>432</v>
      </c>
      <c r="B13" s="29" t="n">
        <v>0.12</v>
      </c>
    </row>
    <row r="14" customFormat="false" ht="15" hidden="false" customHeight="true" outlineLevel="0" collapsed="false">
      <c r="A14" s="7" t="s">
        <v>433</v>
      </c>
      <c r="B14" s="29" t="n">
        <v>0.06</v>
      </c>
    </row>
    <row r="15" customFormat="false" ht="23.25" hidden="false" customHeight="true" outlineLevel="0" collapsed="false">
      <c r="A15" s="7" t="s">
        <v>434</v>
      </c>
      <c r="B15" s="29" t="n">
        <v>0.04</v>
      </c>
    </row>
    <row r="16" customFormat="false" ht="15" hidden="false" customHeight="true" outlineLevel="0" collapsed="false">
      <c r="A16" s="36" t="s">
        <v>439</v>
      </c>
      <c r="B16" s="37" t="n">
        <f aca="false">SUM(B4:B15)</f>
        <v>1</v>
      </c>
    </row>
    <row r="19" customFormat="false" ht="24" hidden="false" customHeight="true" outlineLevel="0" collapsed="false">
      <c r="A19" s="35" t="s">
        <v>440</v>
      </c>
      <c r="B19" s="35"/>
      <c r="C19" s="35"/>
    </row>
    <row r="20" customFormat="false" ht="25.5" hidden="false" customHeight="true" outlineLevel="0" collapsed="false">
      <c r="A20" s="16" t="s">
        <v>441</v>
      </c>
      <c r="B20" s="16"/>
      <c r="C20" s="16"/>
    </row>
    <row r="22" customFormat="false" ht="26.25" hidden="false" customHeight="true" outlineLevel="0" collapsed="false">
      <c r="A22" s="10" t="s">
        <v>442</v>
      </c>
      <c r="B22" s="10" t="s">
        <v>443</v>
      </c>
      <c r="C22" s="10" t="s">
        <v>444</v>
      </c>
    </row>
    <row r="23" customFormat="false" ht="48" hidden="false" customHeight="true" outlineLevel="0" collapsed="false">
      <c r="A23" s="7" t="s">
        <v>445</v>
      </c>
      <c r="B23" s="18" t="s">
        <v>446</v>
      </c>
      <c r="C23" s="7" t="s">
        <v>447</v>
      </c>
    </row>
    <row r="24" customFormat="false" ht="48" hidden="false" customHeight="true" outlineLevel="0" collapsed="false">
      <c r="A24" s="7" t="s">
        <v>448</v>
      </c>
      <c r="B24" s="18" t="s">
        <v>449</v>
      </c>
      <c r="C24" s="7" t="s">
        <v>450</v>
      </c>
    </row>
    <row r="25" customFormat="false" ht="48" hidden="false" customHeight="true" outlineLevel="0" collapsed="false">
      <c r="A25" s="7" t="s">
        <v>451</v>
      </c>
      <c r="B25" s="18" t="s">
        <v>452</v>
      </c>
      <c r="C25" s="7" t="s">
        <v>453</v>
      </c>
    </row>
    <row r="26" customFormat="false" ht="48" hidden="false" customHeight="true" outlineLevel="0" collapsed="false">
      <c r="A26" s="7" t="s">
        <v>454</v>
      </c>
      <c r="B26" s="18" t="s">
        <v>455</v>
      </c>
      <c r="C26" s="7" t="s">
        <v>456</v>
      </c>
    </row>
    <row r="27" customFormat="false" ht="48" hidden="false" customHeight="true" outlineLevel="0" collapsed="false">
      <c r="A27" s="7" t="s">
        <v>457</v>
      </c>
      <c r="B27" s="18" t="s">
        <v>458</v>
      </c>
      <c r="C27" s="7" t="s">
        <v>459</v>
      </c>
    </row>
  </sheetData>
  <mergeCells count="3">
    <mergeCell ref="A1:C1"/>
    <mergeCell ref="A19:C19"/>
    <mergeCell ref="A20:C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2026-07-30T11:04:30Z</dcterms:created>
  <dc:creator>openpyxl</dc:creator>
  <dc:description/>
  <dc:language>en-US</dc:language>
  <cp:lastModifiedBy/>
  <dcterms:modified xsi:type="dcterms:W3CDTF">2026-07-31T19:28:13Z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